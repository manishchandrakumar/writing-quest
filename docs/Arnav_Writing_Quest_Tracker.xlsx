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Daily Log" sheetId="2" state="visible" r:id="rId4"/>
    <sheet name="Weekly Goals" sheetId="3" state="visible" r:id="rId5"/>
    <sheet name="Boss Challenges" sheetId="4" state="visible" r:id="rId6"/>
    <sheet name="Spelling Bank" sheetId="5" state="visible" r:id="rId7"/>
    <sheet name="Rewards" sheetId="6" state="visible" r:id="rId8"/>
    <sheet name="How to use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<sst xmlns="http://schemas.openxmlformats.org/spreadsheetml/2006/main" count="286" uniqueCount="148">
  <si>
    <t xml:space="preserve">WRITING QUEST — Arnav Kashyap</t>
  </si>
  <si>
    <t xml:space="preserve">60-Day Writing Improvement Program · Live Dashboard</t>
  </si>
  <si>
    <t xml:space="preserve">Total XP</t>
  </si>
  <si>
    <t xml:space="preserve">Current Streak</t>
  </si>
  <si>
    <t xml:space="preserve">Best Streak</t>
  </si>
  <si>
    <t xml:space="preserve">Days Completed</t>
  </si>
  <si>
    <t xml:space="preserve">Current Level</t>
  </si>
  <si>
    <t xml:space="preserve">Title</t>
  </si>
  <si>
    <t xml:space="preserve">60-Day Progress (each box = 1 day; green = mission done)</t>
  </si>
  <si>
    <t xml:space="preserve">Today's Tip</t>
  </si>
  <si>
    <t xml:space="preserve">Daily Log — fill the Date and Mission Done column. Everything else is automatic.</t>
  </si>
  <si>
    <t xml:space="preserve">Day</t>
  </si>
  <si>
    <t xml:space="preserve">Date</t>
  </si>
  <si>
    <t xml:space="preserve">Theme</t>
  </si>
  <si>
    <t xml:space="preserve">Phase</t>
  </si>
  <si>
    <t xml:space="preserve">Mission Done?</t>
  </si>
  <si>
    <t xml:space="preserve">Lines Written</t>
  </si>
  <si>
    <t xml:space="preserve">Spell Words Used</t>
  </si>
  <si>
    <t xml:space="preserve">XP Today</t>
  </si>
  <si>
    <t xml:space="preserve">Streak Day</t>
  </si>
  <si>
    <t xml:space="preserve">Mood (1–5)</t>
  </si>
  <si>
    <t xml:space="preserve">Notes</t>
  </si>
  <si>
    <t xml:space="preserve">Onboarding</t>
  </si>
  <si>
    <t xml:space="preserve">Phase 1 · Fluency</t>
  </si>
  <si>
    <t xml:space="preserve">Speed drills</t>
  </si>
  <si>
    <t xml:space="preserve">⚔️ BOSS · Speed drills</t>
  </si>
  <si>
    <t xml:space="preserve">Story mode</t>
  </si>
  <si>
    <t xml:space="preserve">⚔️ BOSS · Story mode</t>
  </si>
  <si>
    <t xml:space="preserve">Paragraph shape</t>
  </si>
  <si>
    <t xml:space="preserve">Phase 2 · Structure</t>
  </si>
  <si>
    <t xml:space="preserve">Spelling bank</t>
  </si>
  <si>
    <t xml:space="preserve">⚔️ BOSS · Spelling bank</t>
  </si>
  <si>
    <t xml:space="preserve">Explain it</t>
  </si>
  <si>
    <t xml:space="preserve">⚔️ BOSS · Explain it</t>
  </si>
  <si>
    <t xml:space="preserve">Timed writing</t>
  </si>
  <si>
    <t xml:space="preserve">Phase 3 · Independence</t>
  </si>
  <si>
    <t xml:space="preserve">⚔️ BOSS · Opinion mode</t>
  </si>
  <si>
    <t xml:space="preserve">Opinion mode</t>
  </si>
  <si>
    <t xml:space="preserve">Class 6 prep</t>
  </si>
  <si>
    <t xml:space="preserve">⚔️ BOSS · Class 6 prep</t>
  </si>
  <si>
    <t xml:space="preserve">Weekly Goals — print and stick inside the notebook cover</t>
  </si>
  <si>
    <t xml:space="preserve">Week</t>
  </si>
  <si>
    <t xml:space="preserve">Days</t>
  </si>
  <si>
    <t xml:space="preserve">Primary Goal</t>
  </si>
  <si>
    <t xml:space="preserve">Secondary Goal</t>
  </si>
  <si>
    <t xml:space="preserve">Achieved?</t>
  </si>
  <si>
    <t xml:space="preserve">1–7</t>
  </si>
  <si>
    <t xml:space="preserve">Build daily ritual. Finish every session.</t>
  </si>
  <si>
    <t xml:space="preserve">Make desk distraction-free.</t>
  </si>
  <si>
    <t xml:space="preserve">☐</t>
  </si>
  <si>
    <t xml:space="preserve">8–14</t>
  </si>
  <si>
    <t xml:space="preserve">Speed-drill habit: alphabet + 60-sec count.</t>
  </si>
  <si>
    <t xml:space="preserve">Introduce 5-word spelling drill.</t>
  </si>
  <si>
    <t xml:space="preserve">15–21</t>
  </si>
  <si>
    <t xml:space="preserve">Story mode: 10-line story by Day 20.</t>
  </si>
  <si>
    <t xml:space="preserve">Use simple connectors (and, but, then, so).</t>
  </si>
  <si>
    <t xml:space="preserve">22–28</t>
  </si>
  <si>
    <t xml:space="preserve">1 short paragraph daily (topic→3 ideas→end).</t>
  </si>
  <si>
    <t xml:space="preserve">Spelling bank: 10 new words mastered.</t>
  </si>
  <si>
    <t xml:space="preserve">29–35</t>
  </si>
  <si>
    <t xml:space="preserve">Use 5 connectors fluently.</t>
  </si>
  <si>
    <t xml:space="preserve">Spelling bank: 20 new words total.</t>
  </si>
  <si>
    <t xml:space="preserve">36–42</t>
  </si>
  <si>
    <t xml:space="preserve">Two-paragraph explanation pieces (Binocs-style).</t>
  </si>
  <si>
    <t xml:space="preserve">Self-check spelling before review.</t>
  </si>
  <si>
    <t xml:space="preserve">43–49</t>
  </si>
  <si>
    <t xml:space="preserve">2 paragraphs in 10 minutes (timed).</t>
  </si>
  <si>
    <t xml:space="preserve">Begin opinion writing.</t>
  </si>
  <si>
    <t xml:space="preserve">50–56</t>
  </si>
  <si>
    <t xml:space="preserve">Opinion paragraph: 2 reasons + 1 example.</t>
  </si>
  <si>
    <t xml:space="preserve">Re-read &amp; improve one line per day.</t>
  </si>
  <si>
    <t xml:space="preserve">57–60</t>
  </si>
  <si>
    <t xml:space="preserve">Full one-page piece (Class 6 style).</t>
  </si>
  <si>
    <t xml:space="preserve">Grand Final + reflection.</t>
  </si>
  <si>
    <t xml:space="preserve">Boss Challenge Days — earn +15 XP and a special badge</t>
  </si>
  <si>
    <t xml:space="preserve">Boss Name</t>
  </si>
  <si>
    <t xml:space="preserve">Challenge</t>
  </si>
  <si>
    <t xml:space="preserve">Reward Badge</t>
  </si>
  <si>
    <t xml:space="preserve">Cleared?</t>
  </si>
  <si>
    <t xml:space="preserve">Friend Story</t>
  </si>
  <si>
    <t xml:space="preserve">Write a 10-line story starring Arsh, Varad and yourself.</t>
  </si>
  <si>
    <t xml:space="preserve">🟨 Story Builder</t>
  </si>
  <si>
    <t xml:space="preserve">Phase 1 Boss</t>
  </si>
  <si>
    <t xml:space="preserve">Choose one Day 1–19 prompt and rewrite it better and longer.</t>
  </si>
  <si>
    <t xml:space="preserve">🟥 Boss Slayer I</t>
  </si>
  <si>
    <t xml:space="preserve">Halfway Hero</t>
  </si>
  <si>
    <t xml:space="preserve">Two short paragraphs explaining how YOU would teach writing.</t>
  </si>
  <si>
    <t xml:space="preserve">🟪 Halfway Hero</t>
  </si>
  <si>
    <t xml:space="preserve">Phase 2 Boss</t>
  </si>
  <si>
    <t xml:space="preserve">Explain Roblox/Minecraft to an alien in 2 paragraphs.</t>
  </si>
  <si>
    <t xml:space="preserve">🟥 Boss Slayer II</t>
  </si>
  <si>
    <t xml:space="preserve">Opinion Duel</t>
  </si>
  <si>
    <t xml:space="preserve">Take a side: 'Phones in school — yes or no?' Reasons + example.</t>
  </si>
  <si>
    <t xml:space="preserve">🟧 Opinion Warrior</t>
  </si>
  <si>
    <t xml:space="preserve">Grand Final</t>
  </si>
  <si>
    <t xml:space="preserve">Write a full one-page piece: 'How I became a writer in 60 days.'</t>
  </si>
  <si>
    <t xml:space="preserve">🟫 Class 6 Champion</t>
  </si>
  <si>
    <t xml:space="preserve">Spelling Bank — 5 new words per week from Week 2</t>
  </si>
  <si>
    <t xml:space="preserve">Words</t>
  </si>
  <si>
    <t xml:space="preserve">Mastered?</t>
  </si>
  <si>
    <t xml:space="preserve">because, friend, school, before, every</t>
  </si>
  <si>
    <t xml:space="preserve">people, special, beautiful, favourite, different</t>
  </si>
  <si>
    <t xml:space="preserve">important, together, another, between, through</t>
  </si>
  <si>
    <t xml:space="preserve">around, almost, always, never, sometimes</t>
  </si>
  <si>
    <t xml:space="preserve">remember, forget, believe, decide, choose</t>
  </si>
  <si>
    <t xml:space="preserve">carefully, quickly, slowly, quietly, suddenly</t>
  </si>
  <si>
    <t xml:space="preserve">answer, question, problem, idea, sentence</t>
  </si>
  <si>
    <t xml:space="preserve">character, hero, villain, challenge, mission</t>
  </si>
  <si>
    <t xml:space="preserve">Milestone Rewards — pre-agree these with Arnav</t>
  </si>
  <si>
    <t xml:space="preserve">Milestone</t>
  </si>
  <si>
    <t xml:space="preserve">Reward (suggested)</t>
  </si>
  <si>
    <t xml:space="preserve">Agreed reward</t>
  </si>
  <si>
    <t xml:space="preserve">Claimed?</t>
  </si>
  <si>
    <t xml:space="preserve">Day 7</t>
  </si>
  <si>
    <t xml:space="preserve">Pick the family movie night.</t>
  </si>
  <si>
    <t xml:space="preserve">Day 14</t>
  </si>
  <si>
    <t xml:space="preserve">Choose Saturday dinner.</t>
  </si>
  <si>
    <t xml:space="preserve">Day 21</t>
  </si>
  <si>
    <t xml:space="preserve">Extra 30 min Roblox/Minecraft on the weekend.</t>
  </si>
  <si>
    <t xml:space="preserve">Day 30</t>
  </si>
  <si>
    <t xml:space="preserve">Halfway: new notebook + pen set OR Robux/skin top-up.</t>
  </si>
  <si>
    <t xml:space="preserve">Day 45</t>
  </si>
  <si>
    <t xml:space="preserve">Friends-over-for-pizza evening.</t>
  </si>
  <si>
    <t xml:space="preserve">Day 60</t>
  </si>
  <si>
    <t xml:space="preserve">Grand reward (pre-agreed bigger item or experience).</t>
  </si>
  <si>
    <t xml:space="preserve">How to use this tracker</t>
  </si>
  <si>
    <t xml:space="preserve">1.</t>
  </si>
  <si>
    <t xml:space="preserve">Every day, open the 'Daily Log' tab.</t>
  </si>
  <si>
    <t xml:space="preserve">2.</t>
  </si>
  <si>
    <t xml:space="preserve">Fill in the Date column.</t>
  </si>
  <si>
    <t xml:space="preserve">3.</t>
  </si>
  <si>
    <t xml:space="preserve">Set 'Mission Done?' to one of: Yes / Lite / Freeze / No.</t>
  </si>
  <si>
    <t xml:space="preserve">    • Yes  = full mission completed (full XP)</t>
  </si>
  <si>
    <t xml:space="preserve">    • Lite = 5-min Lite Day (small XP, streak preserved)</t>
  </si>
  <si>
    <t xml:space="preserve">    • Freeze = used your weekly streak freeze (streak preserved, 0 XP)</t>
  </si>
  <si>
    <t xml:space="preserve">    • No  = skipped (streak resets)</t>
  </si>
  <si>
    <t xml:space="preserve">4.</t>
  </si>
  <si>
    <t xml:space="preserve">Fill in 'Lines Written' (optional) and 'Spell Words Used' (max 3 counts).</t>
  </si>
  <si>
    <t xml:space="preserve">5.</t>
  </si>
  <si>
    <t xml:space="preserve">Set the mood (1–5) if you like.</t>
  </si>
  <si>
    <t xml:space="preserve">6.</t>
  </si>
  <si>
    <t xml:space="preserve">Watch the Dashboard update automatically. Streak, XP and Level all live.</t>
  </si>
  <si>
    <t xml:space="preserve">Tips for parents:</t>
  </si>
  <si>
    <t xml:space="preserve">•</t>
  </si>
  <si>
    <t xml:space="preserve">Mark XP together with Arnav. The ritual matters as much as the numbers.</t>
  </si>
  <si>
    <t xml:space="preserve">Print the Weekly Goals sheet and stick it inside his notebook cover.</t>
  </si>
  <si>
    <t xml:space="preserve">Boss Day arriving? Plan the celebration in advance — it's the hook.</t>
  </si>
  <si>
    <t xml:space="preserve">If three days in a row are 'No', stop and read the Recovery section of the program.</t>
  </si>
</sst>
</file>

<file path=xl/styles.xml><?xml version="1.0" encoding="utf-8"?>
<styleSheet xmlns="http://schemas.openxmlformats.org/spreadsheetml/2006/main">
  <numFmts count="1">
    <numFmt numFmtId="164" formatCode="General"/>
  </numFmts>
  <fonts count="3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8"/>
      <color rgb="FF1F4E79"/>
      <name val="Calibri"/>
      <family val="0"/>
      <charset val="1"/>
    </font>
    <font>
      <i val="true"/>
      <sz val="12"/>
      <color rgb="FF555555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36"/>
      <color rgb="FF1F4E79"/>
      <name val="Calibri"/>
      <family val="0"/>
      <charset val="1"/>
    </font>
    <font>
      <b val="true"/>
      <sz val="36"/>
      <color rgb="FFC00000"/>
      <name val="Calibri"/>
      <family val="0"/>
      <charset val="1"/>
    </font>
    <font>
      <b val="true"/>
      <sz val="36"/>
      <color rgb="FFB8860B"/>
      <name val="Calibri"/>
      <family val="0"/>
      <charset val="1"/>
    </font>
    <font>
      <b val="true"/>
      <sz val="36"/>
      <color rgb="FF2E7D32"/>
      <name val="Calibri"/>
      <family val="0"/>
      <charset val="1"/>
    </font>
    <font>
      <b val="true"/>
      <sz val="40"/>
      <color rgb="FF1F4E79"/>
      <name val="Calibri"/>
      <family val="0"/>
      <charset val="1"/>
    </font>
    <font>
      <b val="true"/>
      <sz val="22"/>
      <color rgb="FFB8860B"/>
      <name val="Calibri"/>
      <family val="0"/>
      <charset val="1"/>
    </font>
    <font>
      <b val="true"/>
      <sz val="11"/>
      <color rgb="FF5555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4"/>
      <color rgb="FFC00000"/>
      <name val="Calibri"/>
      <family val="0"/>
      <charset val="1"/>
    </font>
    <font>
      <i val="true"/>
      <sz val="13"/>
      <color rgb="FF1F4E79"/>
      <name val="Calibri"/>
      <family val="0"/>
      <charset val="1"/>
    </font>
    <font>
      <b val="true"/>
      <sz val="14"/>
      <color rgb="FF1F4E79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1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B8860B"/>
      <name val="Cambria"/>
      <family val="0"/>
      <charset val="1"/>
    </font>
    <font>
      <sz val="11"/>
      <name val="Calibri"/>
      <family val="0"/>
      <charset val="1"/>
    </font>
    <font>
      <sz val="14"/>
      <name val="Calibri"/>
      <family val="0"/>
      <charset val="1"/>
    </font>
    <font>
      <b val="true"/>
      <sz val="11"/>
      <color rgb="FF1F4E79"/>
      <name val="Cambria"/>
      <family val="0"/>
      <charset val="1"/>
    </font>
    <font>
      <sz val="14"/>
      <name val="Cambria"/>
      <family val="0"/>
      <charset val="1"/>
    </font>
    <font>
      <b val="true"/>
      <sz val="14"/>
      <color rgb="FFB8860B"/>
      <name val="Calibri"/>
      <family val="0"/>
      <charset val="1"/>
    </font>
    <font>
      <b val="true"/>
      <sz val="18"/>
      <color rgb="FF1F4E79"/>
      <name val="Calibri"/>
      <family val="0"/>
      <charset val="1"/>
    </font>
    <font>
      <b val="true"/>
      <sz val="12"/>
      <color rgb="FF1F4E79"/>
      <name val="Calibri"/>
      <family val="0"/>
      <charset val="1"/>
    </font>
    <font>
      <sz val="12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C00000"/>
        <bgColor rgb="FF800000"/>
      </patternFill>
    </fill>
    <fill>
      <patternFill patternType="solid">
        <fgColor rgb="FFB8860B"/>
        <bgColor rgb="FFFF9900"/>
      </patternFill>
    </fill>
    <fill>
      <patternFill patternType="solid">
        <fgColor rgb="FF2E7D32"/>
        <bgColor rgb="FF008000"/>
      </patternFill>
    </fill>
    <fill>
      <patternFill patternType="solid">
        <fgColor rgb="FFEAF2F8"/>
        <bgColor rgb="FFF2F2F2"/>
      </patternFill>
    </fill>
    <fill>
      <patternFill patternType="solid">
        <fgColor rgb="FFFFF6E0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2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32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ont>
        <b val="1"/>
        <color rgb="FFFFFFFF"/>
      </font>
      <fill>
        <patternFill>
          <bgColor rgb="FF2E7D32"/>
        </patternFill>
      </fill>
    </dxf>
    <dxf>
      <fill>
        <patternFill>
          <bgColor rgb="FFF2F2F2"/>
        </patternFill>
      </fill>
    </dxf>
    <dxf>
      <font>
        <b val="1"/>
        <color rgb="FF2E7D32"/>
      </font>
      <fill>
        <patternFill>
          <bgColor rgb="FFC6E0B4"/>
        </patternFill>
      </fill>
    </dxf>
    <dxf>
      <font>
        <b val="1"/>
        <color rgb="FFB8860B"/>
      </font>
      <fill>
        <patternFill>
          <bgColor rgb="FFFFE699"/>
        </patternFill>
      </fill>
    </dxf>
    <dxf>
      <font>
        <b val="1"/>
        <color rgb="FF1F4E79"/>
      </font>
      <fill>
        <patternFill>
          <bgColor rgb="FFBDD7EE"/>
        </patternFill>
      </fill>
    </dxf>
    <dxf>
      <font>
        <b val="1"/>
        <color rgb="FFC00000"/>
      </font>
      <fill>
        <patternFill>
          <bgColor rgb="FFF8CBAD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FBFBF"/>
      <rgbColor rgb="FF808080"/>
      <rgbColor rgb="FF9999FF"/>
      <rgbColor rgb="FF993366"/>
      <rgbColor rgb="FFFFF6E0"/>
      <rgbColor rgb="FFEAF2F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6E0B4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"/>
    <col collapsed="false" customWidth="true" hidden="false" outlineLevel="0" max="11" min="2" style="0" width="13"/>
  </cols>
  <sheetData>
    <row r="2" customFormat="false" ht="15" hidden="false" customHeight="false" outlineLevel="0" collapsed="false">
      <c r="B2" s="1" t="s">
        <v>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1"/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B4" s="2" t="s">
        <v>1</v>
      </c>
      <c r="C4" s="2"/>
      <c r="D4" s="2"/>
      <c r="E4" s="2"/>
      <c r="F4" s="2"/>
      <c r="G4" s="2"/>
      <c r="H4" s="2"/>
    </row>
    <row r="7" customFormat="false" ht="15" hidden="false" customHeight="false" outlineLevel="0" collapsed="false">
      <c r="B7" s="3" t="s">
        <v>2</v>
      </c>
      <c r="C7" s="3"/>
      <c r="D7" s="4" t="s">
        <v>3</v>
      </c>
      <c r="E7" s="4"/>
      <c r="F7" s="5" t="s">
        <v>4</v>
      </c>
      <c r="G7" s="5"/>
      <c r="H7" s="6" t="s">
        <v>5</v>
      </c>
      <c r="I7" s="6"/>
    </row>
    <row r="8" customFormat="false" ht="15" hidden="false" customHeight="false" outlineLevel="0" collapsed="false">
      <c r="B8" s="7" t="n">
        <f aca="false">SUM('Daily Log'!H4:H63)</f>
        <v>0</v>
      </c>
      <c r="C8" s="7"/>
      <c r="D8" s="8" t="n">
        <f aca="false">'Daily Log'!K65</f>
        <v>0</v>
      </c>
      <c r="E8" s="8"/>
      <c r="F8" s="9" t="n">
        <f aca="false">'Daily Log'!K66</f>
        <v>0</v>
      </c>
      <c r="G8" s="9"/>
      <c r="H8" s="10" t="n">
        <f aca="false">COUNTIF('Daily Log'!E4:E63,"Yes")</f>
        <v>0</v>
      </c>
      <c r="I8" s="10"/>
    </row>
    <row r="9" customFormat="false" ht="15" hidden="false" customHeight="false" outlineLevel="0" collapsed="false">
      <c r="B9" s="7"/>
      <c r="C9" s="7"/>
      <c r="D9" s="8"/>
      <c r="E9" s="8"/>
      <c r="F9" s="9"/>
      <c r="G9" s="9"/>
      <c r="H9" s="10"/>
      <c r="I9" s="10"/>
    </row>
    <row r="10" customFormat="false" ht="15" hidden="false" customHeight="false" outlineLevel="0" collapsed="false">
      <c r="B10" s="7"/>
      <c r="C10" s="7"/>
      <c r="D10" s="8"/>
      <c r="E10" s="8"/>
      <c r="F10" s="9"/>
      <c r="G10" s="9"/>
      <c r="H10" s="10"/>
      <c r="I10" s="10"/>
    </row>
    <row r="12" customFormat="false" ht="15" hidden="false" customHeight="false" outlineLevel="0" collapsed="false">
      <c r="B12" s="11" t="s">
        <v>6</v>
      </c>
      <c r="C12" s="11"/>
      <c r="D12" s="11"/>
      <c r="E12" s="11"/>
      <c r="F12" s="12" t="s">
        <v>7</v>
      </c>
      <c r="G12" s="12"/>
      <c r="H12" s="12"/>
      <c r="I12" s="12"/>
    </row>
    <row r="13" customFormat="false" ht="15" hidden="false" customHeight="false" outlineLevel="0" collapsed="false">
      <c r="B13" s="13" t="str">
        <f aca="false">IF(B8&gt;=1400,"Lv 8",IF(B8&gt;=1100,"Lv 7",IF(B8&gt;=800,"Lv 6",IF(B8&gt;=550,"Lv 5",IF(B8&gt;=350,"Lv 4",IF(B8&gt;=180,"Lv 3",IF(B8&gt;=60,"Lv 2","Lv 1")))))))</f>
        <v>Lv 1</v>
      </c>
      <c r="C13" s="13"/>
      <c r="D13" s="13"/>
      <c r="E13" s="13"/>
      <c r="F13" s="14" t="str">
        <f aca="false">IF(B8&gt;=1400,"Class 6 Champion",IF(B8&gt;=1100,"Opinion Warrior",IF(B8&gt;=800,"Story Captain",IF(B8&gt;=550,"Spelling Sentinel",IF(B8&gt;=350,"Paragraph Mage",IF(B8&gt;=180,"Sentence Knight",IF(B8&gt;=60,"Word Cadet","Pencil Apprentice")))))))</f>
        <v>Pencil Apprentice</v>
      </c>
      <c r="G13" s="14"/>
      <c r="H13" s="14"/>
      <c r="I13" s="14"/>
    </row>
    <row r="14" customFormat="false" ht="15" hidden="false" customHeight="false" outlineLevel="0" collapsed="false">
      <c r="B14" s="13"/>
      <c r="C14" s="13"/>
      <c r="D14" s="13"/>
      <c r="E14" s="13"/>
      <c r="F14" s="14"/>
      <c r="G14" s="14"/>
      <c r="H14" s="14"/>
      <c r="I14" s="14"/>
    </row>
    <row r="15" customFormat="false" ht="15" hidden="false" customHeight="false" outlineLevel="0" collapsed="false">
      <c r="B15" s="13"/>
      <c r="C15" s="13"/>
      <c r="D15" s="13"/>
      <c r="E15" s="13"/>
      <c r="F15" s="14"/>
      <c r="G15" s="14"/>
      <c r="H15" s="14"/>
      <c r="I15" s="14"/>
    </row>
    <row r="16" customFormat="false" ht="15" hidden="false" customHeight="false" outlineLevel="0" collapsed="false">
      <c r="B16" s="13"/>
      <c r="C16" s="13"/>
      <c r="D16" s="13"/>
      <c r="E16" s="13"/>
      <c r="F16" s="14"/>
      <c r="G16" s="14"/>
      <c r="H16" s="14"/>
      <c r="I16" s="14"/>
    </row>
    <row r="18" customFormat="false" ht="15" hidden="false" customHeight="false" outlineLevel="0" collapsed="false">
      <c r="B18" s="15" t="s">
        <v>8</v>
      </c>
      <c r="C18" s="15"/>
      <c r="D18" s="15"/>
      <c r="E18" s="15"/>
      <c r="F18" s="15"/>
      <c r="G18" s="15"/>
      <c r="H18" s="15"/>
      <c r="I18" s="15"/>
    </row>
    <row r="19" customFormat="false" ht="21.75" hidden="false" customHeight="true" outlineLevel="0" collapsed="false">
      <c r="B19" s="16" t="str">
        <f aca="false">IF('Daily Log'!E4="Yes",1,"")</f>
        <v/>
      </c>
      <c r="C19" s="16" t="str">
        <f aca="false">IF('Daily Log'!E5="Yes",2,"")</f>
        <v/>
      </c>
      <c r="D19" s="16" t="str">
        <f aca="false">IF('Daily Log'!E6="Yes",3,"")</f>
        <v/>
      </c>
      <c r="E19" s="16" t="str">
        <f aca="false">IF('Daily Log'!E7="Yes",4,"")</f>
        <v/>
      </c>
      <c r="F19" s="16" t="str">
        <f aca="false">IF('Daily Log'!E8="Yes",5,"")</f>
        <v/>
      </c>
      <c r="G19" s="16" t="str">
        <f aca="false">IF('Daily Log'!E9="Yes",6,"")</f>
        <v/>
      </c>
      <c r="H19" s="16" t="str">
        <f aca="false">IF('Daily Log'!E10="Yes",7,"")</f>
        <v/>
      </c>
      <c r="I19" s="16" t="str">
        <f aca="false">IF('Daily Log'!E11="Yes",8,"")</f>
        <v/>
      </c>
      <c r="J19" s="16" t="str">
        <f aca="false">IF('Daily Log'!E12="Yes",9,"")</f>
        <v/>
      </c>
      <c r="K19" s="16" t="str">
        <f aca="false">IF('Daily Log'!E13="Yes",10,"")</f>
        <v/>
      </c>
    </row>
    <row r="20" customFormat="false" ht="21.75" hidden="false" customHeight="true" outlineLevel="0" collapsed="false">
      <c r="B20" s="16" t="str">
        <f aca="false">IF('Daily Log'!E14="Yes",11,"")</f>
        <v/>
      </c>
      <c r="C20" s="16" t="str">
        <f aca="false">IF('Daily Log'!E15="Yes",12,"")</f>
        <v/>
      </c>
      <c r="D20" s="16" t="str">
        <f aca="false">IF('Daily Log'!E16="Yes",13,"")</f>
        <v/>
      </c>
      <c r="E20" s="16" t="str">
        <f aca="false">IF('Daily Log'!E17="Yes",14,"")</f>
        <v/>
      </c>
      <c r="F20" s="16" t="str">
        <f aca="false">IF('Daily Log'!E18="Yes",15,"")</f>
        <v/>
      </c>
      <c r="G20" s="16" t="str">
        <f aca="false">IF('Daily Log'!E19="Yes",16,"")</f>
        <v/>
      </c>
      <c r="H20" s="16" t="str">
        <f aca="false">IF('Daily Log'!E20="Yes",17,"")</f>
        <v/>
      </c>
      <c r="I20" s="16" t="str">
        <f aca="false">IF('Daily Log'!E21="Yes",18,"")</f>
        <v/>
      </c>
      <c r="J20" s="16" t="str">
        <f aca="false">IF('Daily Log'!E22="Yes",19,"")</f>
        <v/>
      </c>
      <c r="K20" s="16" t="str">
        <f aca="false">IF('Daily Log'!E23="Yes",20,"")</f>
        <v/>
      </c>
    </row>
    <row r="21" customFormat="false" ht="21.75" hidden="false" customHeight="true" outlineLevel="0" collapsed="false">
      <c r="B21" s="16" t="str">
        <f aca="false">IF('Daily Log'!E24="Yes",21,"")</f>
        <v/>
      </c>
      <c r="C21" s="16" t="str">
        <f aca="false">IF('Daily Log'!E25="Yes",22,"")</f>
        <v/>
      </c>
      <c r="D21" s="16" t="str">
        <f aca="false">IF('Daily Log'!E26="Yes",23,"")</f>
        <v/>
      </c>
      <c r="E21" s="16" t="str">
        <f aca="false">IF('Daily Log'!E27="Yes",24,"")</f>
        <v/>
      </c>
      <c r="F21" s="16" t="str">
        <f aca="false">IF('Daily Log'!E28="Yes",25,"")</f>
        <v/>
      </c>
      <c r="G21" s="16" t="str">
        <f aca="false">IF('Daily Log'!E29="Yes",26,"")</f>
        <v/>
      </c>
      <c r="H21" s="16" t="str">
        <f aca="false">IF('Daily Log'!E30="Yes",27,"")</f>
        <v/>
      </c>
      <c r="I21" s="16" t="str">
        <f aca="false">IF('Daily Log'!E31="Yes",28,"")</f>
        <v/>
      </c>
      <c r="J21" s="16" t="str">
        <f aca="false">IF('Daily Log'!E32="Yes",29,"")</f>
        <v/>
      </c>
      <c r="K21" s="16" t="str">
        <f aca="false">IF('Daily Log'!E33="Yes",30,"")</f>
        <v/>
      </c>
    </row>
    <row r="22" customFormat="false" ht="21.75" hidden="false" customHeight="true" outlineLevel="0" collapsed="false">
      <c r="B22" s="16" t="str">
        <f aca="false">IF('Daily Log'!E34="Yes",31,"")</f>
        <v/>
      </c>
      <c r="C22" s="16" t="str">
        <f aca="false">IF('Daily Log'!E35="Yes",32,"")</f>
        <v/>
      </c>
      <c r="D22" s="16" t="str">
        <f aca="false">IF('Daily Log'!E36="Yes",33,"")</f>
        <v/>
      </c>
      <c r="E22" s="16" t="str">
        <f aca="false">IF('Daily Log'!E37="Yes",34,"")</f>
        <v/>
      </c>
      <c r="F22" s="16" t="str">
        <f aca="false">IF('Daily Log'!E38="Yes",35,"")</f>
        <v/>
      </c>
      <c r="G22" s="16" t="str">
        <f aca="false">IF('Daily Log'!E39="Yes",36,"")</f>
        <v/>
      </c>
      <c r="H22" s="16" t="str">
        <f aca="false">IF('Daily Log'!E40="Yes",37,"")</f>
        <v/>
      </c>
      <c r="I22" s="16" t="str">
        <f aca="false">IF('Daily Log'!E41="Yes",38,"")</f>
        <v/>
      </c>
      <c r="J22" s="16" t="str">
        <f aca="false">IF('Daily Log'!E42="Yes",39,"")</f>
        <v/>
      </c>
      <c r="K22" s="16" t="str">
        <f aca="false">IF('Daily Log'!E43="Yes",40,"")</f>
        <v/>
      </c>
    </row>
    <row r="23" customFormat="false" ht="21.75" hidden="false" customHeight="true" outlineLevel="0" collapsed="false">
      <c r="B23" s="16" t="str">
        <f aca="false">IF('Daily Log'!E44="Yes",41,"")</f>
        <v/>
      </c>
      <c r="C23" s="16" t="str">
        <f aca="false">IF('Daily Log'!E45="Yes",42,"")</f>
        <v/>
      </c>
      <c r="D23" s="16" t="str">
        <f aca="false">IF('Daily Log'!E46="Yes",43,"")</f>
        <v/>
      </c>
      <c r="E23" s="16" t="str">
        <f aca="false">IF('Daily Log'!E47="Yes",44,"")</f>
        <v/>
      </c>
      <c r="F23" s="16" t="str">
        <f aca="false">IF('Daily Log'!E48="Yes",45,"")</f>
        <v/>
      </c>
      <c r="G23" s="16" t="str">
        <f aca="false">IF('Daily Log'!E49="Yes",46,"")</f>
        <v/>
      </c>
      <c r="H23" s="16" t="str">
        <f aca="false">IF('Daily Log'!E50="Yes",47,"")</f>
        <v/>
      </c>
      <c r="I23" s="16" t="str">
        <f aca="false">IF('Daily Log'!E51="Yes",48,"")</f>
        <v/>
      </c>
      <c r="J23" s="16" t="str">
        <f aca="false">IF('Daily Log'!E52="Yes",49,"")</f>
        <v/>
      </c>
      <c r="K23" s="16" t="str">
        <f aca="false">IF('Daily Log'!E53="Yes",50,"")</f>
        <v/>
      </c>
    </row>
    <row r="24" customFormat="false" ht="21.75" hidden="false" customHeight="true" outlineLevel="0" collapsed="false">
      <c r="B24" s="16" t="str">
        <f aca="false">IF('Daily Log'!E54="Yes",51,"")</f>
        <v/>
      </c>
      <c r="C24" s="16" t="str">
        <f aca="false">IF('Daily Log'!E55="Yes",52,"")</f>
        <v/>
      </c>
      <c r="D24" s="16" t="str">
        <f aca="false">IF('Daily Log'!E56="Yes",53,"")</f>
        <v/>
      </c>
      <c r="E24" s="16" t="str">
        <f aca="false">IF('Daily Log'!E57="Yes",54,"")</f>
        <v/>
      </c>
      <c r="F24" s="16" t="str">
        <f aca="false">IF('Daily Log'!E58="Yes",55,"")</f>
        <v/>
      </c>
      <c r="G24" s="16" t="str">
        <f aca="false">IF('Daily Log'!E59="Yes",56,"")</f>
        <v/>
      </c>
      <c r="H24" s="16" t="str">
        <f aca="false">IF('Daily Log'!E60="Yes",57,"")</f>
        <v/>
      </c>
      <c r="I24" s="16" t="str">
        <f aca="false">IF('Daily Log'!E61="Yes",58,"")</f>
        <v/>
      </c>
      <c r="J24" s="16" t="str">
        <f aca="false">IF('Daily Log'!E62="Yes",59,"")</f>
        <v/>
      </c>
      <c r="K24" s="16" t="str">
        <f aca="false">IF('Daily Log'!E63="Yes",60,"")</f>
        <v/>
      </c>
    </row>
    <row r="26" customFormat="false" ht="17.35" hidden="false" customHeight="false" outlineLevel="0" collapsed="false">
      <c r="B26" s="17" t="str">
        <f aca="false">IF(B8&gt;=1400,"GRAND FINAL UNLOCKED! 🏆","XP to next level: " &amp; IF(B8&lt;60,60-B8,IF(B8&lt;180,180-B8,IF(B8&lt;350,350-B8,IF(B8&lt;550,550-B8,IF(B8&lt;800,800-B8,IF(B8&lt;1100,1100-B8,IF(B8&lt;1400,1400-B8,0))))))))</f>
        <v>XP to next level: 60</v>
      </c>
      <c r="C26" s="17"/>
      <c r="D26" s="17"/>
      <c r="E26" s="17"/>
      <c r="F26" s="17"/>
      <c r="G26" s="17"/>
      <c r="H26" s="17"/>
      <c r="I26" s="17"/>
    </row>
    <row r="28" customFormat="false" ht="15" hidden="false" customHeight="false" outlineLevel="0" collapsed="false">
      <c r="B28" s="11" t="s">
        <v>9</v>
      </c>
      <c r="C28" s="11"/>
      <c r="D28" s="11"/>
      <c r="E28" s="11"/>
      <c r="F28" s="11"/>
      <c r="G28" s="11"/>
      <c r="H28" s="11"/>
      <c r="I28" s="11"/>
    </row>
    <row r="29" customFormat="false" ht="15" hidden="false" customHeight="false" outlineLevel="0" collapsed="false">
      <c r="B29" s="18" t="str">
        <f aca="true">INDEX({"Just start. Finishing IS winning today.";"Set the timer. 20 minutes. Phone away.";"Two specific praises + one suggestion. That's the whole review.";"If today feels heavy, do the 5-min Lite Day. Streak still counts.";"Speed today, neatness later. Trust the plan.";"Read it back aloud. Circle one word you're proud of.";"Boss Day soon? Big celebration energy. You've earned it."}, MOD(DAY(TODAY()),7)+1)</f>
        <v>Speed today, neatness later. Trust the plan.</v>
      </c>
      <c r="C29" s="18"/>
      <c r="D29" s="18"/>
      <c r="E29" s="18"/>
      <c r="F29" s="18"/>
      <c r="G29" s="18"/>
      <c r="H29" s="18"/>
      <c r="I29" s="18"/>
    </row>
    <row r="30" customFormat="false" ht="15" hidden="false" customHeight="false" outlineLevel="0" collapsed="false">
      <c r="B30" s="18"/>
      <c r="C30" s="18"/>
      <c r="D30" s="18"/>
      <c r="E30" s="18"/>
      <c r="F30" s="18"/>
      <c r="G30" s="18"/>
      <c r="H30" s="18"/>
      <c r="I30" s="18"/>
    </row>
    <row r="31" customFormat="false" ht="15" hidden="false" customHeight="false" outlineLevel="0" collapsed="false">
      <c r="B31" s="18"/>
      <c r="C31" s="18"/>
      <c r="D31" s="18"/>
      <c r="E31" s="18"/>
      <c r="F31" s="18"/>
      <c r="G31" s="18"/>
      <c r="H31" s="18"/>
      <c r="I31" s="18"/>
    </row>
  </sheetData>
  <mergeCells count="18">
    <mergeCell ref="B2:H3"/>
    <mergeCell ref="B4:H4"/>
    <mergeCell ref="B7:C7"/>
    <mergeCell ref="D7:E7"/>
    <mergeCell ref="F7:G7"/>
    <mergeCell ref="H7:I7"/>
    <mergeCell ref="B8:C10"/>
    <mergeCell ref="D8:E10"/>
    <mergeCell ref="F8:G10"/>
    <mergeCell ref="H8:I10"/>
    <mergeCell ref="B12:E12"/>
    <mergeCell ref="F12:I12"/>
    <mergeCell ref="B13:E16"/>
    <mergeCell ref="F13:I16"/>
    <mergeCell ref="B18:I18"/>
    <mergeCell ref="B26:I26"/>
    <mergeCell ref="B28:I28"/>
    <mergeCell ref="B29:I31"/>
  </mergeCells>
  <conditionalFormatting sqref="B19:K24">
    <cfRule type="expression" priority="2" aboveAverage="0" equalAverage="0" bottom="0" percent="0" rank="0" text="" dxfId="0">
      <formula>ISNUMBER(B19)</formula>
    </cfRule>
    <cfRule type="expression" priority="3" aboveAverage="0" equalAverage="0" bottom="0" percent="0" rank="0" text="" dxfId="1">
      <formula>B19=""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8"/>
    <col collapsed="false" customWidth="true" hidden="false" outlineLevel="0" max="4" min="4" style="0" width="22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10" min="9" style="0" width="10"/>
    <col collapsed="false" customWidth="true" hidden="false" outlineLevel="0" max="11" min="11" style="0" width="36"/>
  </cols>
  <sheetData>
    <row r="1" customFormat="false" ht="25.5" hidden="false" customHeight="true" outlineLevel="0" collapsed="false">
      <c r="A1" s="19" t="s">
        <v>10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3" customFormat="false" ht="30" hidden="false" customHeight="true" outlineLevel="0" collapsed="false">
      <c r="A3" s="20" t="s">
        <v>11</v>
      </c>
      <c r="B3" s="20" t="s">
        <v>12</v>
      </c>
      <c r="C3" s="20" t="s">
        <v>13</v>
      </c>
      <c r="D3" s="20" t="s">
        <v>14</v>
      </c>
      <c r="E3" s="20" t="s">
        <v>15</v>
      </c>
      <c r="F3" s="20" t="s">
        <v>16</v>
      </c>
      <c r="G3" s="20" t="s">
        <v>17</v>
      </c>
      <c r="H3" s="20" t="s">
        <v>18</v>
      </c>
      <c r="I3" s="20" t="s">
        <v>19</v>
      </c>
      <c r="J3" s="20" t="s">
        <v>20</v>
      </c>
      <c r="K3" s="20" t="s">
        <v>21</v>
      </c>
    </row>
    <row r="4" customFormat="false" ht="15" hidden="false" customHeight="false" outlineLevel="0" collapsed="false">
      <c r="A4" s="21" t="n">
        <v>1</v>
      </c>
      <c r="B4" s="22"/>
      <c r="C4" s="23" t="s">
        <v>22</v>
      </c>
      <c r="D4" s="22" t="s">
        <v>23</v>
      </c>
      <c r="E4" s="24"/>
      <c r="F4" s="22"/>
      <c r="G4" s="22"/>
      <c r="H4" s="24" t="n">
        <f aca="false">IF(E4="Yes",10+IF(AND(F4&lt;&gt;"",F4&gt;=IF(1&lt;=7,3,IF(1&lt;=14,5,IF(1&lt;=21,7,IF(1&lt;=42,8,10))))),2,0)+IF(G4&gt;0,MIN(G4,3),0)+0+IF(MOD(I4,7)=0,IF(I4&gt;0,5,0),0),IF(E4="Lite",3,0))</f>
        <v>0</v>
      </c>
      <c r="I4" s="24" t="n">
        <f aca="false">IF(OR(E4="Yes",E4="Lite"),1,0)</f>
        <v>0</v>
      </c>
      <c r="J4" s="24"/>
      <c r="K4" s="23"/>
    </row>
    <row r="5" customFormat="false" ht="15" hidden="false" customHeight="false" outlineLevel="0" collapsed="false">
      <c r="A5" s="25" t="n">
        <v>2</v>
      </c>
      <c r="B5" s="26"/>
      <c r="C5" s="27" t="s">
        <v>22</v>
      </c>
      <c r="D5" s="26" t="s">
        <v>23</v>
      </c>
      <c r="E5" s="28"/>
      <c r="F5" s="26"/>
      <c r="G5" s="26"/>
      <c r="H5" s="28" t="n">
        <f aca="false">IF(E5="Yes",10+IF(AND(F5&lt;&gt;"",F5&gt;=IF(2&lt;=7,3,IF(2&lt;=14,5,IF(2&lt;=21,7,IF(2&lt;=42,8,10))))),2,0)+IF(G5&gt;0,MIN(G5,3),0)+0+IF(MOD(I5,7)=0,IF(I5&gt;0,5,0),0),IF(E5="Lite",3,0))</f>
        <v>0</v>
      </c>
      <c r="I5" s="28" t="n">
        <f aca="false">IF(OR(E5="Yes",E5="Lite"),IF(OR(E4="Yes",E4="Lite"),I4+1,1),IF(E5="Freeze",I4,0))</f>
        <v>0</v>
      </c>
      <c r="J5" s="28"/>
      <c r="K5" s="27"/>
    </row>
    <row r="6" customFormat="false" ht="15" hidden="false" customHeight="false" outlineLevel="0" collapsed="false">
      <c r="A6" s="21" t="n">
        <v>3</v>
      </c>
      <c r="B6" s="22"/>
      <c r="C6" s="23" t="s">
        <v>22</v>
      </c>
      <c r="D6" s="22" t="s">
        <v>23</v>
      </c>
      <c r="E6" s="24"/>
      <c r="F6" s="22"/>
      <c r="G6" s="22"/>
      <c r="H6" s="24" t="n">
        <f aca="false">IF(E6="Yes",10+IF(AND(F6&lt;&gt;"",F6&gt;=IF(3&lt;=7,3,IF(3&lt;=14,5,IF(3&lt;=21,7,IF(3&lt;=42,8,10))))),2,0)+IF(G6&gt;0,MIN(G6,3),0)+0+IF(MOD(I6,7)=0,IF(I6&gt;0,5,0),0),IF(E6="Lite",3,0))</f>
        <v>0</v>
      </c>
      <c r="I6" s="24" t="n">
        <f aca="false">IF(OR(E6="Yes",E6="Lite"),IF(OR(E5="Yes",E5="Lite"),I5+1,1),IF(E6="Freeze",I5,0))</f>
        <v>0</v>
      </c>
      <c r="J6" s="24"/>
      <c r="K6" s="23"/>
    </row>
    <row r="7" customFormat="false" ht="15" hidden="false" customHeight="false" outlineLevel="0" collapsed="false">
      <c r="A7" s="25" t="n">
        <v>4</v>
      </c>
      <c r="B7" s="26"/>
      <c r="C7" s="27" t="s">
        <v>22</v>
      </c>
      <c r="D7" s="26" t="s">
        <v>23</v>
      </c>
      <c r="E7" s="28"/>
      <c r="F7" s="26"/>
      <c r="G7" s="26"/>
      <c r="H7" s="28" t="n">
        <f aca="false">IF(E7="Yes",10+IF(AND(F7&lt;&gt;"",F7&gt;=IF(4&lt;=7,3,IF(4&lt;=14,5,IF(4&lt;=21,7,IF(4&lt;=42,8,10))))),2,0)+IF(G7&gt;0,MIN(G7,3),0)+0+IF(MOD(I7,7)=0,IF(I7&gt;0,5,0),0),IF(E7="Lite",3,0))</f>
        <v>0</v>
      </c>
      <c r="I7" s="28" t="n">
        <f aca="false">IF(OR(E7="Yes",E7="Lite"),IF(OR(E6="Yes",E6="Lite"),I6+1,1),IF(E7="Freeze",I6,0))</f>
        <v>0</v>
      </c>
      <c r="J7" s="28"/>
      <c r="K7" s="27"/>
    </row>
    <row r="8" customFormat="false" ht="15" hidden="false" customHeight="false" outlineLevel="0" collapsed="false">
      <c r="A8" s="21" t="n">
        <v>5</v>
      </c>
      <c r="B8" s="22"/>
      <c r="C8" s="23" t="s">
        <v>22</v>
      </c>
      <c r="D8" s="22" t="s">
        <v>23</v>
      </c>
      <c r="E8" s="24"/>
      <c r="F8" s="22"/>
      <c r="G8" s="22"/>
      <c r="H8" s="24" t="n">
        <f aca="false">IF(E8="Yes",10+IF(AND(F8&lt;&gt;"",F8&gt;=IF(5&lt;=7,3,IF(5&lt;=14,5,IF(5&lt;=21,7,IF(5&lt;=42,8,10))))),2,0)+IF(G8&gt;0,MIN(G8,3),0)+0+IF(MOD(I8,7)=0,IF(I8&gt;0,5,0),0),IF(E8="Lite",3,0))</f>
        <v>0</v>
      </c>
      <c r="I8" s="24" t="n">
        <f aca="false">IF(OR(E8="Yes",E8="Lite"),IF(OR(E7="Yes",E7="Lite"),I7+1,1),IF(E8="Freeze",I7,0))</f>
        <v>0</v>
      </c>
      <c r="J8" s="24"/>
      <c r="K8" s="23"/>
    </row>
    <row r="9" customFormat="false" ht="15" hidden="false" customHeight="false" outlineLevel="0" collapsed="false">
      <c r="A9" s="25" t="n">
        <v>6</v>
      </c>
      <c r="B9" s="26"/>
      <c r="C9" s="27" t="s">
        <v>22</v>
      </c>
      <c r="D9" s="26" t="s">
        <v>23</v>
      </c>
      <c r="E9" s="28"/>
      <c r="F9" s="26"/>
      <c r="G9" s="26"/>
      <c r="H9" s="28" t="n">
        <f aca="false">IF(E9="Yes",10+IF(AND(F9&lt;&gt;"",F9&gt;=IF(6&lt;=7,3,IF(6&lt;=14,5,IF(6&lt;=21,7,IF(6&lt;=42,8,10))))),2,0)+IF(G9&gt;0,MIN(G9,3),0)+0+IF(MOD(I9,7)=0,IF(I9&gt;0,5,0),0),IF(E9="Lite",3,0))</f>
        <v>0</v>
      </c>
      <c r="I9" s="28" t="n">
        <f aca="false">IF(OR(E9="Yes",E9="Lite"),IF(OR(E8="Yes",E8="Lite"),I8+1,1),IF(E9="Freeze",I8,0))</f>
        <v>0</v>
      </c>
      <c r="J9" s="28"/>
      <c r="K9" s="27"/>
    </row>
    <row r="10" customFormat="false" ht="15" hidden="false" customHeight="false" outlineLevel="0" collapsed="false">
      <c r="A10" s="21" t="n">
        <v>7</v>
      </c>
      <c r="B10" s="22"/>
      <c r="C10" s="23" t="s">
        <v>22</v>
      </c>
      <c r="D10" s="22" t="s">
        <v>23</v>
      </c>
      <c r="E10" s="24"/>
      <c r="F10" s="22"/>
      <c r="G10" s="22"/>
      <c r="H10" s="24" t="n">
        <f aca="false">IF(E10="Yes",10+IF(AND(F10&lt;&gt;"",F10&gt;=IF(7&lt;=7,3,IF(7&lt;=14,5,IF(7&lt;=21,7,IF(7&lt;=42,8,10))))),2,0)+IF(G10&gt;0,MIN(G10,3),0)+0+IF(MOD(I10,7)=0,IF(I10&gt;0,5,0),0),IF(E10="Lite",3,0))</f>
        <v>0</v>
      </c>
      <c r="I10" s="24" t="n">
        <f aca="false">IF(OR(E10="Yes",E10="Lite"),IF(OR(E9="Yes",E9="Lite"),I9+1,1),IF(E10="Freeze",I9,0))</f>
        <v>0</v>
      </c>
      <c r="J10" s="24"/>
      <c r="K10" s="23"/>
    </row>
    <row r="11" customFormat="false" ht="15" hidden="false" customHeight="false" outlineLevel="0" collapsed="false">
      <c r="A11" s="25" t="n">
        <v>8</v>
      </c>
      <c r="B11" s="26"/>
      <c r="C11" s="27" t="s">
        <v>24</v>
      </c>
      <c r="D11" s="26" t="s">
        <v>23</v>
      </c>
      <c r="E11" s="28"/>
      <c r="F11" s="26"/>
      <c r="G11" s="26"/>
      <c r="H11" s="28" t="n">
        <f aca="false">IF(E11="Yes",10+IF(AND(F11&lt;&gt;"",F11&gt;=IF(8&lt;=7,3,IF(8&lt;=14,5,IF(8&lt;=21,7,IF(8&lt;=42,8,10))))),2,0)+IF(G11&gt;0,MIN(G11,3),0)+0+IF(MOD(I11,7)=0,IF(I11&gt;0,5,0),0),IF(E11="Lite",3,0))</f>
        <v>0</v>
      </c>
      <c r="I11" s="28" t="n">
        <f aca="false">IF(OR(E11="Yes",E11="Lite"),IF(OR(E10="Yes",E10="Lite"),I10+1,1),IF(E11="Freeze",I10,0))</f>
        <v>0</v>
      </c>
      <c r="J11" s="28"/>
      <c r="K11" s="27"/>
    </row>
    <row r="12" customFormat="false" ht="15" hidden="false" customHeight="false" outlineLevel="0" collapsed="false">
      <c r="A12" s="21" t="n">
        <v>9</v>
      </c>
      <c r="B12" s="22"/>
      <c r="C12" s="23" t="s">
        <v>24</v>
      </c>
      <c r="D12" s="22" t="s">
        <v>23</v>
      </c>
      <c r="E12" s="24"/>
      <c r="F12" s="22"/>
      <c r="G12" s="22"/>
      <c r="H12" s="24" t="n">
        <f aca="false">IF(E12="Yes",10+IF(AND(F12&lt;&gt;"",F12&gt;=IF(9&lt;=7,3,IF(9&lt;=14,5,IF(9&lt;=21,7,IF(9&lt;=42,8,10))))),2,0)+IF(G12&gt;0,MIN(G12,3),0)+0+IF(MOD(I12,7)=0,IF(I12&gt;0,5,0),0),IF(E12="Lite",3,0))</f>
        <v>0</v>
      </c>
      <c r="I12" s="24" t="n">
        <f aca="false">IF(OR(E12="Yes",E12="Lite"),IF(OR(E11="Yes",E11="Lite"),I11+1,1),IF(E12="Freeze",I11,0))</f>
        <v>0</v>
      </c>
      <c r="J12" s="24"/>
      <c r="K12" s="23"/>
    </row>
    <row r="13" customFormat="false" ht="15" hidden="false" customHeight="false" outlineLevel="0" collapsed="false">
      <c r="A13" s="29" t="n">
        <v>10</v>
      </c>
      <c r="B13" s="30"/>
      <c r="C13" s="31" t="s">
        <v>25</v>
      </c>
      <c r="D13" s="30" t="s">
        <v>23</v>
      </c>
      <c r="E13" s="29"/>
      <c r="F13" s="30"/>
      <c r="G13" s="30"/>
      <c r="H13" s="29" t="n">
        <f aca="false">IF(E13="Yes",10+IF(AND(F13&lt;&gt;"",F13&gt;=IF(10&lt;=7,3,IF(10&lt;=14,5,IF(10&lt;=21,7,IF(10&lt;=42,8,10))))),2,0)+IF(G13&gt;0,MIN(G13,3),0)+15+IF(MOD(I13,7)=0,IF(I13&gt;0,5,0),0),IF(E13="Lite",3,0))</f>
        <v>0</v>
      </c>
      <c r="I13" s="29" t="n">
        <f aca="false">IF(OR(E13="Yes",E13="Lite"),IF(OR(E12="Yes",E12="Lite"),I12+1,1),IF(E13="Freeze",I12,0))</f>
        <v>0</v>
      </c>
      <c r="J13" s="29"/>
      <c r="K13" s="31"/>
    </row>
    <row r="14" customFormat="false" ht="15" hidden="false" customHeight="false" outlineLevel="0" collapsed="false">
      <c r="A14" s="21" t="n">
        <v>11</v>
      </c>
      <c r="B14" s="22"/>
      <c r="C14" s="23" t="s">
        <v>24</v>
      </c>
      <c r="D14" s="22" t="s">
        <v>23</v>
      </c>
      <c r="E14" s="24"/>
      <c r="F14" s="22"/>
      <c r="G14" s="22"/>
      <c r="H14" s="24" t="n">
        <f aca="false">IF(E14="Yes",10+IF(AND(F14&lt;&gt;"",F14&gt;=IF(11&lt;=7,3,IF(11&lt;=14,5,IF(11&lt;=21,7,IF(11&lt;=42,8,10))))),2,0)+IF(G14&gt;0,MIN(G14,3),0)+0+IF(MOD(I14,7)=0,IF(I14&gt;0,5,0),0),IF(E14="Lite",3,0))</f>
        <v>0</v>
      </c>
      <c r="I14" s="24" t="n">
        <f aca="false">IF(OR(E14="Yes",E14="Lite"),IF(OR(E13="Yes",E13="Lite"),I13+1,1),IF(E14="Freeze",I13,0))</f>
        <v>0</v>
      </c>
      <c r="J14" s="24"/>
      <c r="K14" s="23"/>
    </row>
    <row r="15" customFormat="false" ht="15" hidden="false" customHeight="false" outlineLevel="0" collapsed="false">
      <c r="A15" s="25" t="n">
        <v>12</v>
      </c>
      <c r="B15" s="26"/>
      <c r="C15" s="27" t="s">
        <v>24</v>
      </c>
      <c r="D15" s="26" t="s">
        <v>23</v>
      </c>
      <c r="E15" s="28"/>
      <c r="F15" s="26"/>
      <c r="G15" s="26"/>
      <c r="H15" s="28" t="n">
        <f aca="false">IF(E15="Yes",10+IF(AND(F15&lt;&gt;"",F15&gt;=IF(12&lt;=7,3,IF(12&lt;=14,5,IF(12&lt;=21,7,IF(12&lt;=42,8,10))))),2,0)+IF(G15&gt;0,MIN(G15,3),0)+0+IF(MOD(I15,7)=0,IF(I15&gt;0,5,0),0),IF(E15="Lite",3,0))</f>
        <v>0</v>
      </c>
      <c r="I15" s="28" t="n">
        <f aca="false">IF(OR(E15="Yes",E15="Lite"),IF(OR(E14="Yes",E14="Lite"),I14+1,1),IF(E15="Freeze",I14,0))</f>
        <v>0</v>
      </c>
      <c r="J15" s="28"/>
      <c r="K15" s="27"/>
    </row>
    <row r="16" customFormat="false" ht="15" hidden="false" customHeight="false" outlineLevel="0" collapsed="false">
      <c r="A16" s="21" t="n">
        <v>13</v>
      </c>
      <c r="B16" s="22"/>
      <c r="C16" s="23" t="s">
        <v>24</v>
      </c>
      <c r="D16" s="22" t="s">
        <v>23</v>
      </c>
      <c r="E16" s="24"/>
      <c r="F16" s="22"/>
      <c r="G16" s="22"/>
      <c r="H16" s="24" t="n">
        <f aca="false">IF(E16="Yes",10+IF(AND(F16&lt;&gt;"",F16&gt;=IF(13&lt;=7,3,IF(13&lt;=14,5,IF(13&lt;=21,7,IF(13&lt;=42,8,10))))),2,0)+IF(G16&gt;0,MIN(G16,3),0)+0+IF(MOD(I16,7)=0,IF(I16&gt;0,5,0),0),IF(E16="Lite",3,0))</f>
        <v>0</v>
      </c>
      <c r="I16" s="24" t="n">
        <f aca="false">IF(OR(E16="Yes",E16="Lite"),IF(OR(E15="Yes",E15="Lite"),I15+1,1),IF(E16="Freeze",I15,0))</f>
        <v>0</v>
      </c>
      <c r="J16" s="24"/>
      <c r="K16" s="23"/>
    </row>
    <row r="17" customFormat="false" ht="15" hidden="false" customHeight="false" outlineLevel="0" collapsed="false">
      <c r="A17" s="25" t="n">
        <v>14</v>
      </c>
      <c r="B17" s="26"/>
      <c r="C17" s="27" t="s">
        <v>24</v>
      </c>
      <c r="D17" s="26" t="s">
        <v>23</v>
      </c>
      <c r="E17" s="28"/>
      <c r="F17" s="26"/>
      <c r="G17" s="26"/>
      <c r="H17" s="28" t="n">
        <f aca="false">IF(E17="Yes",10+IF(AND(F17&lt;&gt;"",F17&gt;=IF(14&lt;=7,3,IF(14&lt;=14,5,IF(14&lt;=21,7,IF(14&lt;=42,8,10))))),2,0)+IF(G17&gt;0,MIN(G17,3),0)+0+IF(MOD(I17,7)=0,IF(I17&gt;0,5,0),0),IF(E17="Lite",3,0))</f>
        <v>0</v>
      </c>
      <c r="I17" s="28" t="n">
        <f aca="false">IF(OR(E17="Yes",E17="Lite"),IF(OR(E16="Yes",E16="Lite"),I16+1,1),IF(E17="Freeze",I16,0))</f>
        <v>0</v>
      </c>
      <c r="J17" s="28"/>
      <c r="K17" s="27"/>
    </row>
    <row r="18" customFormat="false" ht="15" hidden="false" customHeight="false" outlineLevel="0" collapsed="false">
      <c r="A18" s="21" t="n">
        <v>15</v>
      </c>
      <c r="B18" s="22"/>
      <c r="C18" s="23" t="s">
        <v>26</v>
      </c>
      <c r="D18" s="22" t="s">
        <v>23</v>
      </c>
      <c r="E18" s="24"/>
      <c r="F18" s="22"/>
      <c r="G18" s="22"/>
      <c r="H18" s="24" t="n">
        <f aca="false">IF(E18="Yes",10+IF(AND(F18&lt;&gt;"",F18&gt;=IF(15&lt;=7,3,IF(15&lt;=14,5,IF(15&lt;=21,7,IF(15&lt;=42,8,10))))),2,0)+IF(G18&gt;0,MIN(G18,3),0)+0+IF(MOD(I18,7)=0,IF(I18&gt;0,5,0),0),IF(E18="Lite",3,0))</f>
        <v>0</v>
      </c>
      <c r="I18" s="24" t="n">
        <f aca="false">IF(OR(E18="Yes",E18="Lite"),IF(OR(E17="Yes",E17="Lite"),I17+1,1),IF(E18="Freeze",I17,0))</f>
        <v>0</v>
      </c>
      <c r="J18" s="24"/>
      <c r="K18" s="23"/>
    </row>
    <row r="19" customFormat="false" ht="15" hidden="false" customHeight="false" outlineLevel="0" collapsed="false">
      <c r="A19" s="25" t="n">
        <v>16</v>
      </c>
      <c r="B19" s="26"/>
      <c r="C19" s="27" t="s">
        <v>26</v>
      </c>
      <c r="D19" s="26" t="s">
        <v>23</v>
      </c>
      <c r="E19" s="28"/>
      <c r="F19" s="26"/>
      <c r="G19" s="26"/>
      <c r="H19" s="28" t="n">
        <f aca="false">IF(E19="Yes",10+IF(AND(F19&lt;&gt;"",F19&gt;=IF(16&lt;=7,3,IF(16&lt;=14,5,IF(16&lt;=21,7,IF(16&lt;=42,8,10))))),2,0)+IF(G19&gt;0,MIN(G19,3),0)+0+IF(MOD(I19,7)=0,IF(I19&gt;0,5,0),0),IF(E19="Lite",3,0))</f>
        <v>0</v>
      </c>
      <c r="I19" s="28" t="n">
        <f aca="false">IF(OR(E19="Yes",E19="Lite"),IF(OR(E18="Yes",E18="Lite"),I18+1,1),IF(E19="Freeze",I18,0))</f>
        <v>0</v>
      </c>
      <c r="J19" s="28"/>
      <c r="K19" s="27"/>
    </row>
    <row r="20" customFormat="false" ht="15" hidden="false" customHeight="false" outlineLevel="0" collapsed="false">
      <c r="A20" s="21" t="n">
        <v>17</v>
      </c>
      <c r="B20" s="22"/>
      <c r="C20" s="23" t="s">
        <v>26</v>
      </c>
      <c r="D20" s="22" t="s">
        <v>23</v>
      </c>
      <c r="E20" s="24"/>
      <c r="F20" s="22"/>
      <c r="G20" s="22"/>
      <c r="H20" s="24" t="n">
        <f aca="false">IF(E20="Yes",10+IF(AND(F20&lt;&gt;"",F20&gt;=IF(17&lt;=7,3,IF(17&lt;=14,5,IF(17&lt;=21,7,IF(17&lt;=42,8,10))))),2,0)+IF(G20&gt;0,MIN(G20,3),0)+0+IF(MOD(I20,7)=0,IF(I20&gt;0,5,0),0),IF(E20="Lite",3,0))</f>
        <v>0</v>
      </c>
      <c r="I20" s="24" t="n">
        <f aca="false">IF(OR(E20="Yes",E20="Lite"),IF(OR(E19="Yes",E19="Lite"),I19+1,1),IF(E20="Freeze",I19,0))</f>
        <v>0</v>
      </c>
      <c r="J20" s="24"/>
      <c r="K20" s="23"/>
    </row>
    <row r="21" customFormat="false" ht="15" hidden="false" customHeight="false" outlineLevel="0" collapsed="false">
      <c r="A21" s="25" t="n">
        <v>18</v>
      </c>
      <c r="B21" s="26"/>
      <c r="C21" s="27" t="s">
        <v>26</v>
      </c>
      <c r="D21" s="26" t="s">
        <v>23</v>
      </c>
      <c r="E21" s="28"/>
      <c r="F21" s="26"/>
      <c r="G21" s="26"/>
      <c r="H21" s="28" t="n">
        <f aca="false">IF(E21="Yes",10+IF(AND(F21&lt;&gt;"",F21&gt;=IF(18&lt;=7,3,IF(18&lt;=14,5,IF(18&lt;=21,7,IF(18&lt;=42,8,10))))),2,0)+IF(G21&gt;0,MIN(G21,3),0)+0+IF(MOD(I21,7)=0,IF(I21&gt;0,5,0),0),IF(E21="Lite",3,0))</f>
        <v>0</v>
      </c>
      <c r="I21" s="28" t="n">
        <f aca="false">IF(OR(E21="Yes",E21="Lite"),IF(OR(E20="Yes",E20="Lite"),I20+1,1),IF(E21="Freeze",I20,0))</f>
        <v>0</v>
      </c>
      <c r="J21" s="28"/>
      <c r="K21" s="27"/>
    </row>
    <row r="22" customFormat="false" ht="15" hidden="false" customHeight="false" outlineLevel="0" collapsed="false">
      <c r="A22" s="21" t="n">
        <v>19</v>
      </c>
      <c r="B22" s="22"/>
      <c r="C22" s="23" t="s">
        <v>26</v>
      </c>
      <c r="D22" s="22" t="s">
        <v>23</v>
      </c>
      <c r="E22" s="24"/>
      <c r="F22" s="22"/>
      <c r="G22" s="22"/>
      <c r="H22" s="24" t="n">
        <f aca="false">IF(E22="Yes",10+IF(AND(F22&lt;&gt;"",F22&gt;=IF(19&lt;=7,3,IF(19&lt;=14,5,IF(19&lt;=21,7,IF(19&lt;=42,8,10))))),2,0)+IF(G22&gt;0,MIN(G22,3),0)+0+IF(MOD(I22,7)=0,IF(I22&gt;0,5,0),0),IF(E22="Lite",3,0))</f>
        <v>0</v>
      </c>
      <c r="I22" s="24" t="n">
        <f aca="false">IF(OR(E22="Yes",E22="Lite"),IF(OR(E21="Yes",E21="Lite"),I21+1,1),IF(E22="Freeze",I21,0))</f>
        <v>0</v>
      </c>
      <c r="J22" s="24"/>
      <c r="K22" s="23"/>
    </row>
    <row r="23" customFormat="false" ht="15" hidden="false" customHeight="false" outlineLevel="0" collapsed="false">
      <c r="A23" s="29" t="n">
        <v>20</v>
      </c>
      <c r="B23" s="30"/>
      <c r="C23" s="31" t="s">
        <v>27</v>
      </c>
      <c r="D23" s="30" t="s">
        <v>23</v>
      </c>
      <c r="E23" s="29"/>
      <c r="F23" s="30"/>
      <c r="G23" s="30"/>
      <c r="H23" s="29" t="n">
        <f aca="false">IF(E23="Yes",10+IF(AND(F23&lt;&gt;"",F23&gt;=IF(20&lt;=7,3,IF(20&lt;=14,5,IF(20&lt;=21,7,IF(20&lt;=42,8,10))))),2,0)+IF(G23&gt;0,MIN(G23,3),0)+15+IF(MOD(I23,7)=0,IF(I23&gt;0,5,0),0),IF(E23="Lite",3,0))</f>
        <v>0</v>
      </c>
      <c r="I23" s="29" t="n">
        <f aca="false">IF(OR(E23="Yes",E23="Lite"),IF(OR(E22="Yes",E22="Lite"),I22+1,1),IF(E23="Freeze",I22,0))</f>
        <v>0</v>
      </c>
      <c r="J23" s="29"/>
      <c r="K23" s="31"/>
    </row>
    <row r="24" customFormat="false" ht="15" hidden="false" customHeight="false" outlineLevel="0" collapsed="false">
      <c r="A24" s="21" t="n">
        <v>21</v>
      </c>
      <c r="B24" s="22"/>
      <c r="C24" s="23" t="s">
        <v>26</v>
      </c>
      <c r="D24" s="22" t="s">
        <v>23</v>
      </c>
      <c r="E24" s="24"/>
      <c r="F24" s="22"/>
      <c r="G24" s="22"/>
      <c r="H24" s="24" t="n">
        <f aca="false">IF(E24="Yes",10+IF(AND(F24&lt;&gt;"",F24&gt;=IF(21&lt;=7,3,IF(21&lt;=14,5,IF(21&lt;=21,7,IF(21&lt;=42,8,10))))),2,0)+IF(G24&gt;0,MIN(G24,3),0)+0+IF(MOD(I24,7)=0,IF(I24&gt;0,5,0),0),IF(E24="Lite",3,0))</f>
        <v>0</v>
      </c>
      <c r="I24" s="24" t="n">
        <f aca="false">IF(OR(E24="Yes",E24="Lite"),IF(OR(E23="Yes",E23="Lite"),I23+1,1),IF(E24="Freeze",I23,0))</f>
        <v>0</v>
      </c>
      <c r="J24" s="24"/>
      <c r="K24" s="23"/>
    </row>
    <row r="25" customFormat="false" ht="15" hidden="false" customHeight="false" outlineLevel="0" collapsed="false">
      <c r="A25" s="25" t="n">
        <v>22</v>
      </c>
      <c r="B25" s="26"/>
      <c r="C25" s="27" t="s">
        <v>28</v>
      </c>
      <c r="D25" s="26" t="s">
        <v>29</v>
      </c>
      <c r="E25" s="28"/>
      <c r="F25" s="26"/>
      <c r="G25" s="26"/>
      <c r="H25" s="28" t="n">
        <f aca="false">IF(E25="Yes",10+IF(AND(F25&lt;&gt;"",F25&gt;=IF(22&lt;=7,3,IF(22&lt;=14,5,IF(22&lt;=21,7,IF(22&lt;=42,8,10))))),2,0)+IF(G25&gt;0,MIN(G25,3),0)+0+IF(MOD(I25,7)=0,IF(I25&gt;0,5,0),0),IF(E25="Lite",3,0))</f>
        <v>0</v>
      </c>
      <c r="I25" s="28" t="n">
        <f aca="false">IF(OR(E25="Yes",E25="Lite"),IF(OR(E24="Yes",E24="Lite"),I24+1,1),IF(E25="Freeze",I24,0))</f>
        <v>0</v>
      </c>
      <c r="J25" s="28"/>
      <c r="K25" s="27"/>
    </row>
    <row r="26" customFormat="false" ht="15" hidden="false" customHeight="false" outlineLevel="0" collapsed="false">
      <c r="A26" s="21" t="n">
        <v>23</v>
      </c>
      <c r="B26" s="22"/>
      <c r="C26" s="23" t="s">
        <v>28</v>
      </c>
      <c r="D26" s="22" t="s">
        <v>29</v>
      </c>
      <c r="E26" s="24"/>
      <c r="F26" s="22"/>
      <c r="G26" s="22"/>
      <c r="H26" s="24" t="n">
        <f aca="false">IF(E26="Yes",10+IF(AND(F26&lt;&gt;"",F26&gt;=IF(23&lt;=7,3,IF(23&lt;=14,5,IF(23&lt;=21,7,IF(23&lt;=42,8,10))))),2,0)+IF(G26&gt;0,MIN(G26,3),0)+0+IF(MOD(I26,7)=0,IF(I26&gt;0,5,0),0),IF(E26="Lite",3,0))</f>
        <v>0</v>
      </c>
      <c r="I26" s="24" t="n">
        <f aca="false">IF(OR(E26="Yes",E26="Lite"),IF(OR(E25="Yes",E25="Lite"),I25+1,1),IF(E26="Freeze",I25,0))</f>
        <v>0</v>
      </c>
      <c r="J26" s="24"/>
      <c r="K26" s="23"/>
    </row>
    <row r="27" customFormat="false" ht="15" hidden="false" customHeight="false" outlineLevel="0" collapsed="false">
      <c r="A27" s="25" t="n">
        <v>24</v>
      </c>
      <c r="B27" s="26"/>
      <c r="C27" s="27" t="s">
        <v>28</v>
      </c>
      <c r="D27" s="26" t="s">
        <v>29</v>
      </c>
      <c r="E27" s="28"/>
      <c r="F27" s="26"/>
      <c r="G27" s="26"/>
      <c r="H27" s="28" t="n">
        <f aca="false">IF(E27="Yes",10+IF(AND(F27&lt;&gt;"",F27&gt;=IF(24&lt;=7,3,IF(24&lt;=14,5,IF(24&lt;=21,7,IF(24&lt;=42,8,10))))),2,0)+IF(G27&gt;0,MIN(G27,3),0)+0+IF(MOD(I27,7)=0,IF(I27&gt;0,5,0),0),IF(E27="Lite",3,0))</f>
        <v>0</v>
      </c>
      <c r="I27" s="28" t="n">
        <f aca="false">IF(OR(E27="Yes",E27="Lite"),IF(OR(E26="Yes",E26="Lite"),I26+1,1),IF(E27="Freeze",I26,0))</f>
        <v>0</v>
      </c>
      <c r="J27" s="28"/>
      <c r="K27" s="27"/>
    </row>
    <row r="28" customFormat="false" ht="15" hidden="false" customHeight="false" outlineLevel="0" collapsed="false">
      <c r="A28" s="21" t="n">
        <v>25</v>
      </c>
      <c r="B28" s="22"/>
      <c r="C28" s="23" t="s">
        <v>28</v>
      </c>
      <c r="D28" s="22" t="s">
        <v>29</v>
      </c>
      <c r="E28" s="24"/>
      <c r="F28" s="22"/>
      <c r="G28" s="22"/>
      <c r="H28" s="24" t="n">
        <f aca="false">IF(E28="Yes",10+IF(AND(F28&lt;&gt;"",F28&gt;=IF(25&lt;=7,3,IF(25&lt;=14,5,IF(25&lt;=21,7,IF(25&lt;=42,8,10))))),2,0)+IF(G28&gt;0,MIN(G28,3),0)+0+IF(MOD(I28,7)=0,IF(I28&gt;0,5,0),0),IF(E28="Lite",3,0))</f>
        <v>0</v>
      </c>
      <c r="I28" s="24" t="n">
        <f aca="false">IF(OR(E28="Yes",E28="Lite"),IF(OR(E27="Yes",E27="Lite"),I27+1,1),IF(E28="Freeze",I27,0))</f>
        <v>0</v>
      </c>
      <c r="J28" s="24"/>
      <c r="K28" s="23"/>
    </row>
    <row r="29" customFormat="false" ht="15" hidden="false" customHeight="false" outlineLevel="0" collapsed="false">
      <c r="A29" s="25" t="n">
        <v>26</v>
      </c>
      <c r="B29" s="26"/>
      <c r="C29" s="27" t="s">
        <v>28</v>
      </c>
      <c r="D29" s="26" t="s">
        <v>29</v>
      </c>
      <c r="E29" s="28"/>
      <c r="F29" s="26"/>
      <c r="G29" s="26"/>
      <c r="H29" s="28" t="n">
        <f aca="false">IF(E29="Yes",10+IF(AND(F29&lt;&gt;"",F29&gt;=IF(26&lt;=7,3,IF(26&lt;=14,5,IF(26&lt;=21,7,IF(26&lt;=42,8,10))))),2,0)+IF(G29&gt;0,MIN(G29,3),0)+0+IF(MOD(I29,7)=0,IF(I29&gt;0,5,0),0),IF(E29="Lite",3,0))</f>
        <v>0</v>
      </c>
      <c r="I29" s="28" t="n">
        <f aca="false">IF(OR(E29="Yes",E29="Lite"),IF(OR(E28="Yes",E28="Lite"),I28+1,1),IF(E29="Freeze",I28,0))</f>
        <v>0</v>
      </c>
      <c r="J29" s="28"/>
      <c r="K29" s="27"/>
    </row>
    <row r="30" customFormat="false" ht="15" hidden="false" customHeight="false" outlineLevel="0" collapsed="false">
      <c r="A30" s="21" t="n">
        <v>27</v>
      </c>
      <c r="B30" s="22"/>
      <c r="C30" s="23" t="s">
        <v>28</v>
      </c>
      <c r="D30" s="22" t="s">
        <v>29</v>
      </c>
      <c r="E30" s="24"/>
      <c r="F30" s="22"/>
      <c r="G30" s="22"/>
      <c r="H30" s="24" t="n">
        <f aca="false">IF(E30="Yes",10+IF(AND(F30&lt;&gt;"",F30&gt;=IF(27&lt;=7,3,IF(27&lt;=14,5,IF(27&lt;=21,7,IF(27&lt;=42,8,10))))),2,0)+IF(G30&gt;0,MIN(G30,3),0)+0+IF(MOD(I30,7)=0,IF(I30&gt;0,5,0),0),IF(E30="Lite",3,0))</f>
        <v>0</v>
      </c>
      <c r="I30" s="24" t="n">
        <f aca="false">IF(OR(E30="Yes",E30="Lite"),IF(OR(E29="Yes",E29="Lite"),I29+1,1),IF(E30="Freeze",I29,0))</f>
        <v>0</v>
      </c>
      <c r="J30" s="24"/>
      <c r="K30" s="23"/>
    </row>
    <row r="31" customFormat="false" ht="15" hidden="false" customHeight="false" outlineLevel="0" collapsed="false">
      <c r="A31" s="25" t="n">
        <v>28</v>
      </c>
      <c r="B31" s="26"/>
      <c r="C31" s="27" t="s">
        <v>28</v>
      </c>
      <c r="D31" s="26" t="s">
        <v>29</v>
      </c>
      <c r="E31" s="28"/>
      <c r="F31" s="26"/>
      <c r="G31" s="26"/>
      <c r="H31" s="28" t="n">
        <f aca="false">IF(E31="Yes",10+IF(AND(F31&lt;&gt;"",F31&gt;=IF(28&lt;=7,3,IF(28&lt;=14,5,IF(28&lt;=21,7,IF(28&lt;=42,8,10))))),2,0)+IF(G31&gt;0,MIN(G31,3),0)+0+IF(MOD(I31,7)=0,IF(I31&gt;0,5,0),0),IF(E31="Lite",3,0))</f>
        <v>0</v>
      </c>
      <c r="I31" s="28" t="n">
        <f aca="false">IF(OR(E31="Yes",E31="Lite"),IF(OR(E30="Yes",E30="Lite"),I30+1,1),IF(E31="Freeze",I30,0))</f>
        <v>0</v>
      </c>
      <c r="J31" s="28"/>
      <c r="K31" s="27"/>
    </row>
    <row r="32" customFormat="false" ht="15" hidden="false" customHeight="false" outlineLevel="0" collapsed="false">
      <c r="A32" s="21" t="n">
        <v>29</v>
      </c>
      <c r="B32" s="22"/>
      <c r="C32" s="23" t="s">
        <v>30</v>
      </c>
      <c r="D32" s="22" t="s">
        <v>29</v>
      </c>
      <c r="E32" s="24"/>
      <c r="F32" s="22"/>
      <c r="G32" s="22"/>
      <c r="H32" s="24" t="n">
        <f aca="false">IF(E32="Yes",10+IF(AND(F32&lt;&gt;"",F32&gt;=IF(29&lt;=7,3,IF(29&lt;=14,5,IF(29&lt;=21,7,IF(29&lt;=42,8,10))))),2,0)+IF(G32&gt;0,MIN(G32,3),0)+0+IF(MOD(I32,7)=0,IF(I32&gt;0,5,0),0),IF(E32="Lite",3,0))</f>
        <v>0</v>
      </c>
      <c r="I32" s="24" t="n">
        <f aca="false">IF(OR(E32="Yes",E32="Lite"),IF(OR(E31="Yes",E31="Lite"),I31+1,1),IF(E32="Freeze",I31,0))</f>
        <v>0</v>
      </c>
      <c r="J32" s="24"/>
      <c r="K32" s="23"/>
    </row>
    <row r="33" customFormat="false" ht="15" hidden="false" customHeight="false" outlineLevel="0" collapsed="false">
      <c r="A33" s="29" t="n">
        <v>30</v>
      </c>
      <c r="B33" s="30"/>
      <c r="C33" s="31" t="s">
        <v>31</v>
      </c>
      <c r="D33" s="30" t="s">
        <v>29</v>
      </c>
      <c r="E33" s="29"/>
      <c r="F33" s="30"/>
      <c r="G33" s="30"/>
      <c r="H33" s="29" t="n">
        <f aca="false">IF(E33="Yes",10+IF(AND(F33&lt;&gt;"",F33&gt;=IF(30&lt;=7,3,IF(30&lt;=14,5,IF(30&lt;=21,7,IF(30&lt;=42,8,10))))),2,0)+IF(G33&gt;0,MIN(G33,3),0)+15+IF(MOD(I33,7)=0,IF(I33&gt;0,5,0),0),IF(E33="Lite",3,0))</f>
        <v>0</v>
      </c>
      <c r="I33" s="29" t="n">
        <f aca="false">IF(OR(E33="Yes",E33="Lite"),IF(OR(E32="Yes",E32="Lite"),I32+1,1),IF(E33="Freeze",I32,0))</f>
        <v>0</v>
      </c>
      <c r="J33" s="29"/>
      <c r="K33" s="31"/>
    </row>
    <row r="34" customFormat="false" ht="15" hidden="false" customHeight="false" outlineLevel="0" collapsed="false">
      <c r="A34" s="21" t="n">
        <v>31</v>
      </c>
      <c r="B34" s="22"/>
      <c r="C34" s="23" t="s">
        <v>30</v>
      </c>
      <c r="D34" s="22" t="s">
        <v>29</v>
      </c>
      <c r="E34" s="24"/>
      <c r="F34" s="22"/>
      <c r="G34" s="22"/>
      <c r="H34" s="24" t="n">
        <f aca="false">IF(E34="Yes",10+IF(AND(F34&lt;&gt;"",F34&gt;=IF(31&lt;=7,3,IF(31&lt;=14,5,IF(31&lt;=21,7,IF(31&lt;=42,8,10))))),2,0)+IF(G34&gt;0,MIN(G34,3),0)+0+IF(MOD(I34,7)=0,IF(I34&gt;0,5,0),0),IF(E34="Lite",3,0))</f>
        <v>0</v>
      </c>
      <c r="I34" s="24" t="n">
        <f aca="false">IF(OR(E34="Yes",E34="Lite"),IF(OR(E33="Yes",E33="Lite"),I33+1,1),IF(E34="Freeze",I33,0))</f>
        <v>0</v>
      </c>
      <c r="J34" s="24"/>
      <c r="K34" s="23"/>
    </row>
    <row r="35" customFormat="false" ht="15" hidden="false" customHeight="false" outlineLevel="0" collapsed="false">
      <c r="A35" s="25" t="n">
        <v>32</v>
      </c>
      <c r="B35" s="26"/>
      <c r="C35" s="27" t="s">
        <v>30</v>
      </c>
      <c r="D35" s="26" t="s">
        <v>29</v>
      </c>
      <c r="E35" s="28"/>
      <c r="F35" s="26"/>
      <c r="G35" s="26"/>
      <c r="H35" s="28" t="n">
        <f aca="false">IF(E35="Yes",10+IF(AND(F35&lt;&gt;"",F35&gt;=IF(32&lt;=7,3,IF(32&lt;=14,5,IF(32&lt;=21,7,IF(32&lt;=42,8,10))))),2,0)+IF(G35&gt;0,MIN(G35,3),0)+0+IF(MOD(I35,7)=0,IF(I35&gt;0,5,0),0),IF(E35="Lite",3,0))</f>
        <v>0</v>
      </c>
      <c r="I35" s="28" t="n">
        <f aca="false">IF(OR(E35="Yes",E35="Lite"),IF(OR(E34="Yes",E34="Lite"),I34+1,1),IF(E35="Freeze",I34,0))</f>
        <v>0</v>
      </c>
      <c r="J35" s="28"/>
      <c r="K35" s="27"/>
    </row>
    <row r="36" customFormat="false" ht="15" hidden="false" customHeight="false" outlineLevel="0" collapsed="false">
      <c r="A36" s="21" t="n">
        <v>33</v>
      </c>
      <c r="B36" s="22"/>
      <c r="C36" s="23" t="s">
        <v>30</v>
      </c>
      <c r="D36" s="22" t="s">
        <v>29</v>
      </c>
      <c r="E36" s="24"/>
      <c r="F36" s="22"/>
      <c r="G36" s="22"/>
      <c r="H36" s="24" t="n">
        <f aca="false">IF(E36="Yes",10+IF(AND(F36&lt;&gt;"",F36&gt;=IF(33&lt;=7,3,IF(33&lt;=14,5,IF(33&lt;=21,7,IF(33&lt;=42,8,10))))),2,0)+IF(G36&gt;0,MIN(G36,3),0)+0+IF(MOD(I36,7)=0,IF(I36&gt;0,5,0),0),IF(E36="Lite",3,0))</f>
        <v>0</v>
      </c>
      <c r="I36" s="24" t="n">
        <f aca="false">IF(OR(E36="Yes",E36="Lite"),IF(OR(E35="Yes",E35="Lite"),I35+1,1),IF(E36="Freeze",I35,0))</f>
        <v>0</v>
      </c>
      <c r="J36" s="24"/>
      <c r="K36" s="23"/>
    </row>
    <row r="37" customFormat="false" ht="15" hidden="false" customHeight="false" outlineLevel="0" collapsed="false">
      <c r="A37" s="25" t="n">
        <v>34</v>
      </c>
      <c r="B37" s="26"/>
      <c r="C37" s="27" t="s">
        <v>30</v>
      </c>
      <c r="D37" s="26" t="s">
        <v>29</v>
      </c>
      <c r="E37" s="28"/>
      <c r="F37" s="26"/>
      <c r="G37" s="26"/>
      <c r="H37" s="28" t="n">
        <f aca="false">IF(E37="Yes",10+IF(AND(F37&lt;&gt;"",F37&gt;=IF(34&lt;=7,3,IF(34&lt;=14,5,IF(34&lt;=21,7,IF(34&lt;=42,8,10))))),2,0)+IF(G37&gt;0,MIN(G37,3),0)+0+IF(MOD(I37,7)=0,IF(I37&gt;0,5,0),0),IF(E37="Lite",3,0))</f>
        <v>0</v>
      </c>
      <c r="I37" s="28" t="n">
        <f aca="false">IF(OR(E37="Yes",E37="Lite"),IF(OR(E36="Yes",E36="Lite"),I36+1,1),IF(E37="Freeze",I36,0))</f>
        <v>0</v>
      </c>
      <c r="J37" s="28"/>
      <c r="K37" s="27"/>
    </row>
    <row r="38" customFormat="false" ht="15" hidden="false" customHeight="false" outlineLevel="0" collapsed="false">
      <c r="A38" s="21" t="n">
        <v>35</v>
      </c>
      <c r="B38" s="22"/>
      <c r="C38" s="23" t="s">
        <v>30</v>
      </c>
      <c r="D38" s="22" t="s">
        <v>29</v>
      </c>
      <c r="E38" s="24"/>
      <c r="F38" s="22"/>
      <c r="G38" s="22"/>
      <c r="H38" s="24" t="n">
        <f aca="false">IF(E38="Yes",10+IF(AND(F38&lt;&gt;"",F38&gt;=IF(35&lt;=7,3,IF(35&lt;=14,5,IF(35&lt;=21,7,IF(35&lt;=42,8,10))))),2,0)+IF(G38&gt;0,MIN(G38,3),0)+0+IF(MOD(I38,7)=0,IF(I38&gt;0,5,0),0),IF(E38="Lite",3,0))</f>
        <v>0</v>
      </c>
      <c r="I38" s="24" t="n">
        <f aca="false">IF(OR(E38="Yes",E38="Lite"),IF(OR(E37="Yes",E37="Lite"),I37+1,1),IF(E38="Freeze",I37,0))</f>
        <v>0</v>
      </c>
      <c r="J38" s="24"/>
      <c r="K38" s="23"/>
    </row>
    <row r="39" customFormat="false" ht="15" hidden="false" customHeight="false" outlineLevel="0" collapsed="false">
      <c r="A39" s="25" t="n">
        <v>36</v>
      </c>
      <c r="B39" s="26"/>
      <c r="C39" s="27" t="s">
        <v>32</v>
      </c>
      <c r="D39" s="26" t="s">
        <v>29</v>
      </c>
      <c r="E39" s="28"/>
      <c r="F39" s="26"/>
      <c r="G39" s="26"/>
      <c r="H39" s="28" t="n">
        <f aca="false">IF(E39="Yes",10+IF(AND(F39&lt;&gt;"",F39&gt;=IF(36&lt;=7,3,IF(36&lt;=14,5,IF(36&lt;=21,7,IF(36&lt;=42,8,10))))),2,0)+IF(G39&gt;0,MIN(G39,3),0)+0+IF(MOD(I39,7)=0,IF(I39&gt;0,5,0),0),IF(E39="Lite",3,0))</f>
        <v>0</v>
      </c>
      <c r="I39" s="28" t="n">
        <f aca="false">IF(OR(E39="Yes",E39="Lite"),IF(OR(E38="Yes",E38="Lite"),I38+1,1),IF(E39="Freeze",I38,0))</f>
        <v>0</v>
      </c>
      <c r="J39" s="28"/>
      <c r="K39" s="27"/>
    </row>
    <row r="40" customFormat="false" ht="15" hidden="false" customHeight="false" outlineLevel="0" collapsed="false">
      <c r="A40" s="21" t="n">
        <v>37</v>
      </c>
      <c r="B40" s="22"/>
      <c r="C40" s="23" t="s">
        <v>32</v>
      </c>
      <c r="D40" s="22" t="s">
        <v>29</v>
      </c>
      <c r="E40" s="24"/>
      <c r="F40" s="22"/>
      <c r="G40" s="22"/>
      <c r="H40" s="24" t="n">
        <f aca="false">IF(E40="Yes",10+IF(AND(F40&lt;&gt;"",F40&gt;=IF(37&lt;=7,3,IF(37&lt;=14,5,IF(37&lt;=21,7,IF(37&lt;=42,8,10))))),2,0)+IF(G40&gt;0,MIN(G40,3),0)+0+IF(MOD(I40,7)=0,IF(I40&gt;0,5,0),0),IF(E40="Lite",3,0))</f>
        <v>0</v>
      </c>
      <c r="I40" s="24" t="n">
        <f aca="false">IF(OR(E40="Yes",E40="Lite"),IF(OR(E39="Yes",E39="Lite"),I39+1,1),IF(E40="Freeze",I39,0))</f>
        <v>0</v>
      </c>
      <c r="J40" s="24"/>
      <c r="K40" s="23"/>
    </row>
    <row r="41" customFormat="false" ht="15" hidden="false" customHeight="false" outlineLevel="0" collapsed="false">
      <c r="A41" s="25" t="n">
        <v>38</v>
      </c>
      <c r="B41" s="26"/>
      <c r="C41" s="27" t="s">
        <v>32</v>
      </c>
      <c r="D41" s="26" t="s">
        <v>29</v>
      </c>
      <c r="E41" s="28"/>
      <c r="F41" s="26"/>
      <c r="G41" s="26"/>
      <c r="H41" s="28" t="n">
        <f aca="false">IF(E41="Yes",10+IF(AND(F41&lt;&gt;"",F41&gt;=IF(38&lt;=7,3,IF(38&lt;=14,5,IF(38&lt;=21,7,IF(38&lt;=42,8,10))))),2,0)+IF(G41&gt;0,MIN(G41,3),0)+0+IF(MOD(I41,7)=0,IF(I41&gt;0,5,0),0),IF(E41="Lite",3,0))</f>
        <v>0</v>
      </c>
      <c r="I41" s="28" t="n">
        <f aca="false">IF(OR(E41="Yes",E41="Lite"),IF(OR(E40="Yes",E40="Lite"),I40+1,1),IF(E41="Freeze",I40,0))</f>
        <v>0</v>
      </c>
      <c r="J41" s="28"/>
      <c r="K41" s="27"/>
    </row>
    <row r="42" customFormat="false" ht="15" hidden="false" customHeight="false" outlineLevel="0" collapsed="false">
      <c r="A42" s="21" t="n">
        <v>39</v>
      </c>
      <c r="B42" s="22"/>
      <c r="C42" s="23" t="s">
        <v>32</v>
      </c>
      <c r="D42" s="22" t="s">
        <v>29</v>
      </c>
      <c r="E42" s="24"/>
      <c r="F42" s="22"/>
      <c r="G42" s="22"/>
      <c r="H42" s="24" t="n">
        <f aca="false">IF(E42="Yes",10+IF(AND(F42&lt;&gt;"",F42&gt;=IF(39&lt;=7,3,IF(39&lt;=14,5,IF(39&lt;=21,7,IF(39&lt;=42,8,10))))),2,0)+IF(G42&gt;0,MIN(G42,3),0)+0+IF(MOD(I42,7)=0,IF(I42&gt;0,5,0),0),IF(E42="Lite",3,0))</f>
        <v>0</v>
      </c>
      <c r="I42" s="24" t="n">
        <f aca="false">IF(OR(E42="Yes",E42="Lite"),IF(OR(E41="Yes",E41="Lite"),I41+1,1),IF(E42="Freeze",I41,0))</f>
        <v>0</v>
      </c>
      <c r="J42" s="24"/>
      <c r="K42" s="23"/>
    </row>
    <row r="43" customFormat="false" ht="15" hidden="false" customHeight="false" outlineLevel="0" collapsed="false">
      <c r="A43" s="29" t="n">
        <v>40</v>
      </c>
      <c r="B43" s="30"/>
      <c r="C43" s="31" t="s">
        <v>33</v>
      </c>
      <c r="D43" s="30" t="s">
        <v>29</v>
      </c>
      <c r="E43" s="29"/>
      <c r="F43" s="30"/>
      <c r="G43" s="30"/>
      <c r="H43" s="29" t="n">
        <f aca="false">IF(E43="Yes",10+IF(AND(F43&lt;&gt;"",F43&gt;=IF(40&lt;=7,3,IF(40&lt;=14,5,IF(40&lt;=21,7,IF(40&lt;=42,8,10))))),2,0)+IF(G43&gt;0,MIN(G43,3),0)+15+IF(MOD(I43,7)=0,IF(I43&gt;0,5,0),0),IF(E43="Lite",3,0))</f>
        <v>0</v>
      </c>
      <c r="I43" s="29" t="n">
        <f aca="false">IF(OR(E43="Yes",E43="Lite"),IF(OR(E42="Yes",E42="Lite"),I42+1,1),IF(E43="Freeze",I42,0))</f>
        <v>0</v>
      </c>
      <c r="J43" s="29"/>
      <c r="K43" s="31"/>
    </row>
    <row r="44" customFormat="false" ht="15" hidden="false" customHeight="false" outlineLevel="0" collapsed="false">
      <c r="A44" s="21" t="n">
        <v>41</v>
      </c>
      <c r="B44" s="22"/>
      <c r="C44" s="23" t="s">
        <v>32</v>
      </c>
      <c r="D44" s="22" t="s">
        <v>29</v>
      </c>
      <c r="E44" s="24"/>
      <c r="F44" s="22"/>
      <c r="G44" s="22"/>
      <c r="H44" s="24" t="n">
        <f aca="false">IF(E44="Yes",10+IF(AND(F44&lt;&gt;"",F44&gt;=IF(41&lt;=7,3,IF(41&lt;=14,5,IF(41&lt;=21,7,IF(41&lt;=42,8,10))))),2,0)+IF(G44&gt;0,MIN(G44,3),0)+0+IF(MOD(I44,7)=0,IF(I44&gt;0,5,0),0),IF(E44="Lite",3,0))</f>
        <v>0</v>
      </c>
      <c r="I44" s="24" t="n">
        <f aca="false">IF(OR(E44="Yes",E44="Lite"),IF(OR(E43="Yes",E43="Lite"),I43+1,1),IF(E44="Freeze",I43,0))</f>
        <v>0</v>
      </c>
      <c r="J44" s="24"/>
      <c r="K44" s="23"/>
    </row>
    <row r="45" customFormat="false" ht="15" hidden="false" customHeight="false" outlineLevel="0" collapsed="false">
      <c r="A45" s="25" t="n">
        <v>42</v>
      </c>
      <c r="B45" s="26"/>
      <c r="C45" s="27" t="s">
        <v>32</v>
      </c>
      <c r="D45" s="26" t="s">
        <v>29</v>
      </c>
      <c r="E45" s="28"/>
      <c r="F45" s="26"/>
      <c r="G45" s="26"/>
      <c r="H45" s="28" t="n">
        <f aca="false">IF(E45="Yes",10+IF(AND(F45&lt;&gt;"",F45&gt;=IF(42&lt;=7,3,IF(42&lt;=14,5,IF(42&lt;=21,7,IF(42&lt;=42,8,10))))),2,0)+IF(G45&gt;0,MIN(G45,3),0)+0+IF(MOD(I45,7)=0,IF(I45&gt;0,5,0),0),IF(E45="Lite",3,0))</f>
        <v>0</v>
      </c>
      <c r="I45" s="28" t="n">
        <f aca="false">IF(OR(E45="Yes",E45="Lite"),IF(OR(E44="Yes",E44="Lite"),I44+1,1),IF(E45="Freeze",I44,0))</f>
        <v>0</v>
      </c>
      <c r="J45" s="28"/>
      <c r="K45" s="27"/>
    </row>
    <row r="46" customFormat="false" ht="15" hidden="false" customHeight="false" outlineLevel="0" collapsed="false">
      <c r="A46" s="21" t="n">
        <v>43</v>
      </c>
      <c r="B46" s="22"/>
      <c r="C46" s="23" t="s">
        <v>34</v>
      </c>
      <c r="D46" s="22" t="s">
        <v>35</v>
      </c>
      <c r="E46" s="24"/>
      <c r="F46" s="22"/>
      <c r="G46" s="22"/>
      <c r="H46" s="24" t="n">
        <f aca="false">IF(E46="Yes",10+IF(AND(F46&lt;&gt;"",F46&gt;=IF(43&lt;=7,3,IF(43&lt;=14,5,IF(43&lt;=21,7,IF(43&lt;=42,8,10))))),2,0)+IF(G46&gt;0,MIN(G46,3),0)+0+IF(MOD(I46,7)=0,IF(I46&gt;0,5,0),0),IF(E46="Lite",3,0))</f>
        <v>0</v>
      </c>
      <c r="I46" s="24" t="n">
        <f aca="false">IF(OR(E46="Yes",E46="Lite"),IF(OR(E45="Yes",E45="Lite"),I45+1,1),IF(E46="Freeze",I45,0))</f>
        <v>0</v>
      </c>
      <c r="J46" s="24"/>
      <c r="K46" s="23"/>
    </row>
    <row r="47" customFormat="false" ht="15" hidden="false" customHeight="false" outlineLevel="0" collapsed="false">
      <c r="A47" s="25" t="n">
        <v>44</v>
      </c>
      <c r="B47" s="26"/>
      <c r="C47" s="27" t="s">
        <v>34</v>
      </c>
      <c r="D47" s="26" t="s">
        <v>35</v>
      </c>
      <c r="E47" s="28"/>
      <c r="F47" s="26"/>
      <c r="G47" s="26"/>
      <c r="H47" s="28" t="n">
        <f aca="false">IF(E47="Yes",10+IF(AND(F47&lt;&gt;"",F47&gt;=IF(44&lt;=7,3,IF(44&lt;=14,5,IF(44&lt;=21,7,IF(44&lt;=42,8,10))))),2,0)+IF(G47&gt;0,MIN(G47,3),0)+0+IF(MOD(I47,7)=0,IF(I47&gt;0,5,0),0),IF(E47="Lite",3,0))</f>
        <v>0</v>
      </c>
      <c r="I47" s="28" t="n">
        <f aca="false">IF(OR(E47="Yes",E47="Lite"),IF(OR(E46="Yes",E46="Lite"),I46+1,1),IF(E47="Freeze",I46,0))</f>
        <v>0</v>
      </c>
      <c r="J47" s="28"/>
      <c r="K47" s="27"/>
    </row>
    <row r="48" customFormat="false" ht="15" hidden="false" customHeight="false" outlineLevel="0" collapsed="false">
      <c r="A48" s="21" t="n">
        <v>45</v>
      </c>
      <c r="B48" s="22"/>
      <c r="C48" s="23" t="s">
        <v>34</v>
      </c>
      <c r="D48" s="22" t="s">
        <v>35</v>
      </c>
      <c r="E48" s="24"/>
      <c r="F48" s="22"/>
      <c r="G48" s="22"/>
      <c r="H48" s="24" t="n">
        <f aca="false">IF(E48="Yes",10+IF(AND(F48&lt;&gt;"",F48&gt;=IF(45&lt;=7,3,IF(45&lt;=14,5,IF(45&lt;=21,7,IF(45&lt;=42,8,10))))),2,0)+IF(G48&gt;0,MIN(G48,3),0)+0+IF(MOD(I48,7)=0,IF(I48&gt;0,5,0),0),IF(E48="Lite",3,0))</f>
        <v>0</v>
      </c>
      <c r="I48" s="24" t="n">
        <f aca="false">IF(OR(E48="Yes",E48="Lite"),IF(OR(E47="Yes",E47="Lite"),I47+1,1),IF(E48="Freeze",I47,0))</f>
        <v>0</v>
      </c>
      <c r="J48" s="24"/>
      <c r="K48" s="23"/>
    </row>
    <row r="49" customFormat="false" ht="15" hidden="false" customHeight="false" outlineLevel="0" collapsed="false">
      <c r="A49" s="25" t="n">
        <v>46</v>
      </c>
      <c r="B49" s="26"/>
      <c r="C49" s="27" t="s">
        <v>34</v>
      </c>
      <c r="D49" s="26" t="s">
        <v>35</v>
      </c>
      <c r="E49" s="28"/>
      <c r="F49" s="26"/>
      <c r="G49" s="26"/>
      <c r="H49" s="28" t="n">
        <f aca="false">IF(E49="Yes",10+IF(AND(F49&lt;&gt;"",F49&gt;=IF(46&lt;=7,3,IF(46&lt;=14,5,IF(46&lt;=21,7,IF(46&lt;=42,8,10))))),2,0)+IF(G49&gt;0,MIN(G49,3),0)+0+IF(MOD(I49,7)=0,IF(I49&gt;0,5,0),0),IF(E49="Lite",3,0))</f>
        <v>0</v>
      </c>
      <c r="I49" s="28" t="n">
        <f aca="false">IF(OR(E49="Yes",E49="Lite"),IF(OR(E48="Yes",E48="Lite"),I48+1,1),IF(E49="Freeze",I48,0))</f>
        <v>0</v>
      </c>
      <c r="J49" s="28"/>
      <c r="K49" s="27"/>
    </row>
    <row r="50" customFormat="false" ht="15" hidden="false" customHeight="false" outlineLevel="0" collapsed="false">
      <c r="A50" s="21" t="n">
        <v>47</v>
      </c>
      <c r="B50" s="22"/>
      <c r="C50" s="23" t="s">
        <v>34</v>
      </c>
      <c r="D50" s="22" t="s">
        <v>35</v>
      </c>
      <c r="E50" s="24"/>
      <c r="F50" s="22"/>
      <c r="G50" s="22"/>
      <c r="H50" s="24" t="n">
        <f aca="false">IF(E50="Yes",10+IF(AND(F50&lt;&gt;"",F50&gt;=IF(47&lt;=7,3,IF(47&lt;=14,5,IF(47&lt;=21,7,IF(47&lt;=42,8,10))))),2,0)+IF(G50&gt;0,MIN(G50,3),0)+0+IF(MOD(I50,7)=0,IF(I50&gt;0,5,0),0),IF(E50="Lite",3,0))</f>
        <v>0</v>
      </c>
      <c r="I50" s="24" t="n">
        <f aca="false">IF(OR(E50="Yes",E50="Lite"),IF(OR(E49="Yes",E49="Lite"),I49+1,1),IF(E50="Freeze",I49,0))</f>
        <v>0</v>
      </c>
      <c r="J50" s="24"/>
      <c r="K50" s="23"/>
    </row>
    <row r="51" customFormat="false" ht="15" hidden="false" customHeight="false" outlineLevel="0" collapsed="false">
      <c r="A51" s="25" t="n">
        <v>48</v>
      </c>
      <c r="B51" s="26"/>
      <c r="C51" s="27" t="s">
        <v>34</v>
      </c>
      <c r="D51" s="26" t="s">
        <v>35</v>
      </c>
      <c r="E51" s="28"/>
      <c r="F51" s="26"/>
      <c r="G51" s="26"/>
      <c r="H51" s="28" t="n">
        <f aca="false">IF(E51="Yes",10+IF(AND(F51&lt;&gt;"",F51&gt;=IF(48&lt;=7,3,IF(48&lt;=14,5,IF(48&lt;=21,7,IF(48&lt;=42,8,10))))),2,0)+IF(G51&gt;0,MIN(G51,3),0)+0+IF(MOD(I51,7)=0,IF(I51&gt;0,5,0),0),IF(E51="Lite",3,0))</f>
        <v>0</v>
      </c>
      <c r="I51" s="28" t="n">
        <f aca="false">IF(OR(E51="Yes",E51="Lite"),IF(OR(E50="Yes",E50="Lite"),I50+1,1),IF(E51="Freeze",I50,0))</f>
        <v>0</v>
      </c>
      <c r="J51" s="28"/>
      <c r="K51" s="27"/>
    </row>
    <row r="52" customFormat="false" ht="15" hidden="false" customHeight="false" outlineLevel="0" collapsed="false">
      <c r="A52" s="21" t="n">
        <v>49</v>
      </c>
      <c r="B52" s="22"/>
      <c r="C52" s="23" t="s">
        <v>34</v>
      </c>
      <c r="D52" s="22" t="s">
        <v>35</v>
      </c>
      <c r="E52" s="24"/>
      <c r="F52" s="22"/>
      <c r="G52" s="22"/>
      <c r="H52" s="24" t="n">
        <f aca="false">IF(E52="Yes",10+IF(AND(F52&lt;&gt;"",F52&gt;=IF(49&lt;=7,3,IF(49&lt;=14,5,IF(49&lt;=21,7,IF(49&lt;=42,8,10))))),2,0)+IF(G52&gt;0,MIN(G52,3),0)+0+IF(MOD(I52,7)=0,IF(I52&gt;0,5,0),0),IF(E52="Lite",3,0))</f>
        <v>0</v>
      </c>
      <c r="I52" s="24" t="n">
        <f aca="false">IF(OR(E52="Yes",E52="Lite"),IF(OR(E51="Yes",E51="Lite"),I51+1,1),IF(E52="Freeze",I51,0))</f>
        <v>0</v>
      </c>
      <c r="J52" s="24"/>
      <c r="K52" s="23"/>
    </row>
    <row r="53" customFormat="false" ht="15" hidden="false" customHeight="false" outlineLevel="0" collapsed="false">
      <c r="A53" s="29" t="n">
        <v>50</v>
      </c>
      <c r="B53" s="30"/>
      <c r="C53" s="31" t="s">
        <v>36</v>
      </c>
      <c r="D53" s="30" t="s">
        <v>35</v>
      </c>
      <c r="E53" s="29"/>
      <c r="F53" s="30"/>
      <c r="G53" s="30"/>
      <c r="H53" s="29" t="n">
        <f aca="false">IF(E53="Yes",10+IF(AND(F53&lt;&gt;"",F53&gt;=IF(50&lt;=7,3,IF(50&lt;=14,5,IF(50&lt;=21,7,IF(50&lt;=42,8,10))))),2,0)+IF(G53&gt;0,MIN(G53,3),0)+15+IF(MOD(I53,7)=0,IF(I53&gt;0,5,0),0),IF(E53="Lite",3,0))</f>
        <v>0</v>
      </c>
      <c r="I53" s="29" t="n">
        <f aca="false">IF(OR(E53="Yes",E53="Lite"),IF(OR(E52="Yes",E52="Lite"),I52+1,1),IF(E53="Freeze",I52,0))</f>
        <v>0</v>
      </c>
      <c r="J53" s="29"/>
      <c r="K53" s="31"/>
    </row>
    <row r="54" customFormat="false" ht="15" hidden="false" customHeight="false" outlineLevel="0" collapsed="false">
      <c r="A54" s="21" t="n">
        <v>51</v>
      </c>
      <c r="B54" s="22"/>
      <c r="C54" s="23" t="s">
        <v>37</v>
      </c>
      <c r="D54" s="22" t="s">
        <v>35</v>
      </c>
      <c r="E54" s="24"/>
      <c r="F54" s="22"/>
      <c r="G54" s="22"/>
      <c r="H54" s="24" t="n">
        <f aca="false">IF(E54="Yes",10+IF(AND(F54&lt;&gt;"",F54&gt;=IF(51&lt;=7,3,IF(51&lt;=14,5,IF(51&lt;=21,7,IF(51&lt;=42,8,10))))),2,0)+IF(G54&gt;0,MIN(G54,3),0)+0+IF(MOD(I54,7)=0,IF(I54&gt;0,5,0),0),IF(E54="Lite",3,0))</f>
        <v>0</v>
      </c>
      <c r="I54" s="24" t="n">
        <f aca="false">IF(OR(E54="Yes",E54="Lite"),IF(OR(E53="Yes",E53="Lite"),I53+1,1),IF(E54="Freeze",I53,0))</f>
        <v>0</v>
      </c>
      <c r="J54" s="24"/>
      <c r="K54" s="23"/>
    </row>
    <row r="55" customFormat="false" ht="15" hidden="false" customHeight="false" outlineLevel="0" collapsed="false">
      <c r="A55" s="25" t="n">
        <v>52</v>
      </c>
      <c r="B55" s="26"/>
      <c r="C55" s="27" t="s">
        <v>37</v>
      </c>
      <c r="D55" s="26" t="s">
        <v>35</v>
      </c>
      <c r="E55" s="28"/>
      <c r="F55" s="26"/>
      <c r="G55" s="26"/>
      <c r="H55" s="28" t="n">
        <f aca="false">IF(E55="Yes",10+IF(AND(F55&lt;&gt;"",F55&gt;=IF(52&lt;=7,3,IF(52&lt;=14,5,IF(52&lt;=21,7,IF(52&lt;=42,8,10))))),2,0)+IF(G55&gt;0,MIN(G55,3),0)+0+IF(MOD(I55,7)=0,IF(I55&gt;0,5,0),0),IF(E55="Lite",3,0))</f>
        <v>0</v>
      </c>
      <c r="I55" s="28" t="n">
        <f aca="false">IF(OR(E55="Yes",E55="Lite"),IF(OR(E54="Yes",E54="Lite"),I54+1,1),IF(E55="Freeze",I54,0))</f>
        <v>0</v>
      </c>
      <c r="J55" s="28"/>
      <c r="K55" s="27"/>
    </row>
    <row r="56" customFormat="false" ht="15" hidden="false" customHeight="false" outlineLevel="0" collapsed="false">
      <c r="A56" s="21" t="n">
        <v>53</v>
      </c>
      <c r="B56" s="22"/>
      <c r="C56" s="23" t="s">
        <v>37</v>
      </c>
      <c r="D56" s="22" t="s">
        <v>35</v>
      </c>
      <c r="E56" s="24"/>
      <c r="F56" s="22"/>
      <c r="G56" s="22"/>
      <c r="H56" s="24" t="n">
        <f aca="false">IF(E56="Yes",10+IF(AND(F56&lt;&gt;"",F56&gt;=IF(53&lt;=7,3,IF(53&lt;=14,5,IF(53&lt;=21,7,IF(53&lt;=42,8,10))))),2,0)+IF(G56&gt;0,MIN(G56,3),0)+0+IF(MOD(I56,7)=0,IF(I56&gt;0,5,0),0),IF(E56="Lite",3,0))</f>
        <v>0</v>
      </c>
      <c r="I56" s="24" t="n">
        <f aca="false">IF(OR(E56="Yes",E56="Lite"),IF(OR(E55="Yes",E55="Lite"),I55+1,1),IF(E56="Freeze",I55,0))</f>
        <v>0</v>
      </c>
      <c r="J56" s="24"/>
      <c r="K56" s="23"/>
    </row>
    <row r="57" customFormat="false" ht="15" hidden="false" customHeight="false" outlineLevel="0" collapsed="false">
      <c r="A57" s="25" t="n">
        <v>54</v>
      </c>
      <c r="B57" s="26"/>
      <c r="C57" s="27" t="s">
        <v>37</v>
      </c>
      <c r="D57" s="26" t="s">
        <v>35</v>
      </c>
      <c r="E57" s="28"/>
      <c r="F57" s="26"/>
      <c r="G57" s="26"/>
      <c r="H57" s="28" t="n">
        <f aca="false">IF(E57="Yes",10+IF(AND(F57&lt;&gt;"",F57&gt;=IF(54&lt;=7,3,IF(54&lt;=14,5,IF(54&lt;=21,7,IF(54&lt;=42,8,10))))),2,0)+IF(G57&gt;0,MIN(G57,3),0)+0+IF(MOD(I57,7)=0,IF(I57&gt;0,5,0),0),IF(E57="Lite",3,0))</f>
        <v>0</v>
      </c>
      <c r="I57" s="28" t="n">
        <f aca="false">IF(OR(E57="Yes",E57="Lite"),IF(OR(E56="Yes",E56="Lite"),I56+1,1),IF(E57="Freeze",I56,0))</f>
        <v>0</v>
      </c>
      <c r="J57" s="28"/>
      <c r="K57" s="27"/>
    </row>
    <row r="58" customFormat="false" ht="15" hidden="false" customHeight="false" outlineLevel="0" collapsed="false">
      <c r="A58" s="21" t="n">
        <v>55</v>
      </c>
      <c r="B58" s="22"/>
      <c r="C58" s="23" t="s">
        <v>37</v>
      </c>
      <c r="D58" s="22" t="s">
        <v>35</v>
      </c>
      <c r="E58" s="24"/>
      <c r="F58" s="22"/>
      <c r="G58" s="22"/>
      <c r="H58" s="24" t="n">
        <f aca="false">IF(E58="Yes",10+IF(AND(F58&lt;&gt;"",F58&gt;=IF(55&lt;=7,3,IF(55&lt;=14,5,IF(55&lt;=21,7,IF(55&lt;=42,8,10))))),2,0)+IF(G58&gt;0,MIN(G58,3),0)+0+IF(MOD(I58,7)=0,IF(I58&gt;0,5,0),0),IF(E58="Lite",3,0))</f>
        <v>0</v>
      </c>
      <c r="I58" s="24" t="n">
        <f aca="false">IF(OR(E58="Yes",E58="Lite"),IF(OR(E57="Yes",E57="Lite"),I57+1,1),IF(E58="Freeze",I57,0))</f>
        <v>0</v>
      </c>
      <c r="J58" s="24"/>
      <c r="K58" s="23"/>
    </row>
    <row r="59" customFormat="false" ht="15" hidden="false" customHeight="false" outlineLevel="0" collapsed="false">
      <c r="A59" s="25" t="n">
        <v>56</v>
      </c>
      <c r="B59" s="26"/>
      <c r="C59" s="27" t="s">
        <v>37</v>
      </c>
      <c r="D59" s="26" t="s">
        <v>35</v>
      </c>
      <c r="E59" s="28"/>
      <c r="F59" s="26"/>
      <c r="G59" s="26"/>
      <c r="H59" s="28" t="n">
        <f aca="false">IF(E59="Yes",10+IF(AND(F59&lt;&gt;"",F59&gt;=IF(56&lt;=7,3,IF(56&lt;=14,5,IF(56&lt;=21,7,IF(56&lt;=42,8,10))))),2,0)+IF(G59&gt;0,MIN(G59,3),0)+0+IF(MOD(I59,7)=0,IF(I59&gt;0,5,0),0),IF(E59="Lite",3,0))</f>
        <v>0</v>
      </c>
      <c r="I59" s="28" t="n">
        <f aca="false">IF(OR(E59="Yes",E59="Lite"),IF(OR(E58="Yes",E58="Lite"),I58+1,1),IF(E59="Freeze",I58,0))</f>
        <v>0</v>
      </c>
      <c r="J59" s="28"/>
      <c r="K59" s="27"/>
    </row>
    <row r="60" customFormat="false" ht="15" hidden="false" customHeight="false" outlineLevel="0" collapsed="false">
      <c r="A60" s="21" t="n">
        <v>57</v>
      </c>
      <c r="B60" s="22"/>
      <c r="C60" s="23" t="s">
        <v>38</v>
      </c>
      <c r="D60" s="22" t="s">
        <v>35</v>
      </c>
      <c r="E60" s="24"/>
      <c r="F60" s="22"/>
      <c r="G60" s="22"/>
      <c r="H60" s="24" t="n">
        <f aca="false">IF(E60="Yes",10+IF(AND(F60&lt;&gt;"",F60&gt;=IF(57&lt;=7,3,IF(57&lt;=14,5,IF(57&lt;=21,7,IF(57&lt;=42,8,10))))),2,0)+IF(G60&gt;0,MIN(G60,3),0)+0+IF(MOD(I60,7)=0,IF(I60&gt;0,5,0),0),IF(E60="Lite",3,0))</f>
        <v>0</v>
      </c>
      <c r="I60" s="24" t="n">
        <f aca="false">IF(OR(E60="Yes",E60="Lite"),IF(OR(E59="Yes",E59="Lite"),I59+1,1),IF(E60="Freeze",I59,0))</f>
        <v>0</v>
      </c>
      <c r="J60" s="24"/>
      <c r="K60" s="23"/>
    </row>
    <row r="61" customFormat="false" ht="15" hidden="false" customHeight="false" outlineLevel="0" collapsed="false">
      <c r="A61" s="25" t="n">
        <v>58</v>
      </c>
      <c r="B61" s="26"/>
      <c r="C61" s="27" t="s">
        <v>38</v>
      </c>
      <c r="D61" s="26" t="s">
        <v>35</v>
      </c>
      <c r="E61" s="28"/>
      <c r="F61" s="26"/>
      <c r="G61" s="26"/>
      <c r="H61" s="28" t="n">
        <f aca="false">IF(E61="Yes",10+IF(AND(F61&lt;&gt;"",F61&gt;=IF(58&lt;=7,3,IF(58&lt;=14,5,IF(58&lt;=21,7,IF(58&lt;=42,8,10))))),2,0)+IF(G61&gt;0,MIN(G61,3),0)+0+IF(MOD(I61,7)=0,IF(I61&gt;0,5,0),0),IF(E61="Lite",3,0))</f>
        <v>0</v>
      </c>
      <c r="I61" s="28" t="n">
        <f aca="false">IF(OR(E61="Yes",E61="Lite"),IF(OR(E60="Yes",E60="Lite"),I60+1,1),IF(E61="Freeze",I60,0))</f>
        <v>0</v>
      </c>
      <c r="J61" s="28"/>
      <c r="K61" s="27"/>
    </row>
    <row r="62" customFormat="false" ht="15" hidden="false" customHeight="false" outlineLevel="0" collapsed="false">
      <c r="A62" s="21" t="n">
        <v>59</v>
      </c>
      <c r="B62" s="22"/>
      <c r="C62" s="23" t="s">
        <v>38</v>
      </c>
      <c r="D62" s="22" t="s">
        <v>35</v>
      </c>
      <c r="E62" s="24"/>
      <c r="F62" s="22"/>
      <c r="G62" s="22"/>
      <c r="H62" s="24" t="n">
        <f aca="false">IF(E62="Yes",10+IF(AND(F62&lt;&gt;"",F62&gt;=IF(59&lt;=7,3,IF(59&lt;=14,5,IF(59&lt;=21,7,IF(59&lt;=42,8,10))))),2,0)+IF(G62&gt;0,MIN(G62,3),0)+0+IF(MOD(I62,7)=0,IF(I62&gt;0,5,0),0),IF(E62="Lite",3,0))</f>
        <v>0</v>
      </c>
      <c r="I62" s="24" t="n">
        <f aca="false">IF(OR(E62="Yes",E62="Lite"),IF(OR(E61="Yes",E61="Lite"),I61+1,1),IF(E62="Freeze",I61,0))</f>
        <v>0</v>
      </c>
      <c r="J62" s="24"/>
      <c r="K62" s="23"/>
    </row>
    <row r="63" customFormat="false" ht="15" hidden="false" customHeight="false" outlineLevel="0" collapsed="false">
      <c r="A63" s="29" t="n">
        <v>60</v>
      </c>
      <c r="B63" s="30"/>
      <c r="C63" s="31" t="s">
        <v>39</v>
      </c>
      <c r="D63" s="30" t="s">
        <v>35</v>
      </c>
      <c r="E63" s="29"/>
      <c r="F63" s="30"/>
      <c r="G63" s="30"/>
      <c r="H63" s="29" t="n">
        <f aca="false">IF(E63="Yes",10+IF(AND(F63&lt;&gt;"",F63&gt;=IF(60&lt;=7,3,IF(60&lt;=14,5,IF(60&lt;=21,7,IF(60&lt;=42,8,10))))),2,0)+IF(G63&gt;0,MIN(G63,3),0)+15+IF(MOD(I63,7)=0,IF(I63&gt;0,5,0),0),IF(E63="Lite",3,0))</f>
        <v>0</v>
      </c>
      <c r="I63" s="29" t="n">
        <f aca="false">IF(OR(E63="Yes",E63="Lite"),IF(OR(E62="Yes",E62="Lite"),I62+1,1),IF(E63="Freeze",I62,0))</f>
        <v>0</v>
      </c>
      <c r="J63" s="29"/>
      <c r="K63" s="31"/>
    </row>
    <row r="65" customFormat="false" ht="15" hidden="false" customHeight="false" outlineLevel="0" collapsed="false">
      <c r="J65" s="32" t="s">
        <v>3</v>
      </c>
      <c r="K65" s="33" t="n">
        <f aca="false">IF(COUNTA(I4:I63)=0,0,LOOKUP(2,1/(I4:I63&lt;&gt;""),I4:I63))</f>
        <v>0</v>
      </c>
    </row>
    <row r="66" customFormat="false" ht="15" hidden="false" customHeight="false" outlineLevel="0" collapsed="false">
      <c r="J66" s="32" t="s">
        <v>4</v>
      </c>
      <c r="K66" s="34" t="n">
        <f aca="false">MAX(I4:I63)</f>
        <v>0</v>
      </c>
    </row>
  </sheetData>
  <mergeCells count="1">
    <mergeCell ref="A1:K1"/>
  </mergeCells>
  <conditionalFormatting sqref="H4:H63">
    <cfRule type="colorScale" priority="2">
      <colorScale>
        <cfvo type="min" val="0"/>
        <cfvo type="percentile" val="50"/>
        <cfvo type="max" val="0"/>
        <color rgb="FFFFFFFF"/>
        <color rgb="FFC6E0B4"/>
        <color rgb="FF2E7D32"/>
      </colorScale>
    </cfRule>
  </conditionalFormatting>
  <conditionalFormatting sqref="E4:E63">
    <cfRule type="expression" priority="3" aboveAverage="0" equalAverage="0" bottom="0" percent="0" rank="0" text="" dxfId="2">
      <formula>$E4="Yes"</formula>
    </cfRule>
    <cfRule type="expression" priority="4" aboveAverage="0" equalAverage="0" bottom="0" percent="0" rank="0" text="" dxfId="3">
      <formula>$E4="Lite"</formula>
    </cfRule>
    <cfRule type="expression" priority="5" aboveAverage="0" equalAverage="0" bottom="0" percent="0" rank="0" text="" dxfId="4">
      <formula>$E4="Freeze"</formula>
    </cfRule>
    <cfRule type="expression" priority="6" aboveAverage="0" equalAverage="0" bottom="0" percent="0" rank="0" text="" dxfId="5">
      <formula>$E4="No"</formula>
    </cfRule>
  </conditionalFormatting>
  <dataValidations count="2">
    <dataValidation allowBlank="true" errorStyle="stop" operator="between" showDropDown="false" showErrorMessage="false" showInputMessage="false" sqref="E4:E63" type="list">
      <formula1>"Yes,Lite,Freeze,No"</formula1>
      <formula2>0</formula2>
    </dataValidation>
    <dataValidation allowBlank="true" errorStyle="stop" operator="between" showDropDown="false" showErrorMessage="false" showInputMessage="false" sqref="J4:J63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2"/>
    <col collapsed="false" customWidth="true" hidden="false" outlineLevel="0" max="4" min="4" style="0" width="38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35" t="s">
        <v>40</v>
      </c>
      <c r="B1" s="35"/>
      <c r="C1" s="35"/>
      <c r="D1" s="35"/>
      <c r="E1" s="35"/>
    </row>
    <row r="3" customFormat="false" ht="15" hidden="false" customHeight="false" outlineLevel="0" collapsed="false">
      <c r="A3" s="36" t="s">
        <v>41</v>
      </c>
      <c r="B3" s="36" t="s">
        <v>42</v>
      </c>
      <c r="C3" s="36" t="s">
        <v>43</v>
      </c>
      <c r="D3" s="36" t="s">
        <v>44</v>
      </c>
      <c r="E3" s="36" t="s">
        <v>45</v>
      </c>
    </row>
    <row r="4" customFormat="false" ht="39.75" hidden="false" customHeight="true" outlineLevel="0" collapsed="false">
      <c r="A4" s="37" t="n">
        <v>1</v>
      </c>
      <c r="B4" s="37" t="s">
        <v>46</v>
      </c>
      <c r="C4" s="37" t="s">
        <v>47</v>
      </c>
      <c r="D4" s="37" t="s">
        <v>48</v>
      </c>
      <c r="E4" s="38" t="s">
        <v>49</v>
      </c>
    </row>
    <row r="5" customFormat="false" ht="39.75" hidden="false" customHeight="true" outlineLevel="0" collapsed="false">
      <c r="A5" s="39" t="n">
        <v>2</v>
      </c>
      <c r="B5" s="39" t="s">
        <v>50</v>
      </c>
      <c r="C5" s="39" t="s">
        <v>51</v>
      </c>
      <c r="D5" s="39" t="s">
        <v>52</v>
      </c>
      <c r="E5" s="38" t="s">
        <v>49</v>
      </c>
    </row>
    <row r="6" customFormat="false" ht="39.75" hidden="false" customHeight="true" outlineLevel="0" collapsed="false">
      <c r="A6" s="37" t="n">
        <v>3</v>
      </c>
      <c r="B6" s="37" t="s">
        <v>53</v>
      </c>
      <c r="C6" s="37" t="s">
        <v>54</v>
      </c>
      <c r="D6" s="37" t="s">
        <v>55</v>
      </c>
      <c r="E6" s="38" t="s">
        <v>49</v>
      </c>
    </row>
    <row r="7" customFormat="false" ht="39.75" hidden="false" customHeight="true" outlineLevel="0" collapsed="false">
      <c r="A7" s="39" t="n">
        <v>4</v>
      </c>
      <c r="B7" s="39" t="s">
        <v>56</v>
      </c>
      <c r="C7" s="39" t="s">
        <v>57</v>
      </c>
      <c r="D7" s="39" t="s">
        <v>58</v>
      </c>
      <c r="E7" s="38" t="s">
        <v>49</v>
      </c>
    </row>
    <row r="8" customFormat="false" ht="39.75" hidden="false" customHeight="true" outlineLevel="0" collapsed="false">
      <c r="A8" s="37" t="n">
        <v>5</v>
      </c>
      <c r="B8" s="37" t="s">
        <v>59</v>
      </c>
      <c r="C8" s="37" t="s">
        <v>60</v>
      </c>
      <c r="D8" s="37" t="s">
        <v>61</v>
      </c>
      <c r="E8" s="38" t="s">
        <v>49</v>
      </c>
    </row>
    <row r="9" customFormat="false" ht="39.75" hidden="false" customHeight="true" outlineLevel="0" collapsed="false">
      <c r="A9" s="39" t="n">
        <v>6</v>
      </c>
      <c r="B9" s="39" t="s">
        <v>62</v>
      </c>
      <c r="C9" s="39" t="s">
        <v>63</v>
      </c>
      <c r="D9" s="39" t="s">
        <v>64</v>
      </c>
      <c r="E9" s="38" t="s">
        <v>49</v>
      </c>
    </row>
    <row r="10" customFormat="false" ht="39.75" hidden="false" customHeight="true" outlineLevel="0" collapsed="false">
      <c r="A10" s="37" t="n">
        <v>7</v>
      </c>
      <c r="B10" s="37" t="s">
        <v>65</v>
      </c>
      <c r="C10" s="37" t="s">
        <v>66</v>
      </c>
      <c r="D10" s="37" t="s">
        <v>67</v>
      </c>
      <c r="E10" s="38" t="s">
        <v>49</v>
      </c>
    </row>
    <row r="11" customFormat="false" ht="39.75" hidden="false" customHeight="true" outlineLevel="0" collapsed="false">
      <c r="A11" s="39" t="n">
        <v>8</v>
      </c>
      <c r="B11" s="39" t="s">
        <v>68</v>
      </c>
      <c r="C11" s="39" t="s">
        <v>69</v>
      </c>
      <c r="D11" s="39" t="s">
        <v>70</v>
      </c>
      <c r="E11" s="38" t="s">
        <v>49</v>
      </c>
    </row>
    <row r="12" customFormat="false" ht="39.75" hidden="false" customHeight="true" outlineLevel="0" collapsed="false">
      <c r="A12" s="37" t="n">
        <v>9</v>
      </c>
      <c r="B12" s="37" t="s">
        <v>71</v>
      </c>
      <c r="C12" s="37" t="s">
        <v>72</v>
      </c>
      <c r="D12" s="37" t="s">
        <v>73</v>
      </c>
      <c r="E12" s="38" t="s">
        <v>49</v>
      </c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E4:E12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48"/>
    <col collapsed="false" customWidth="true" hidden="false" outlineLevel="0" max="4" min="4" style="0" width="22"/>
    <col collapsed="false" customWidth="true" hidden="false" outlineLevel="0" max="5" min="5" style="0" width="12"/>
  </cols>
  <sheetData>
    <row r="1" customFormat="false" ht="25.5" hidden="false" customHeight="true" outlineLevel="0" collapsed="false">
      <c r="A1" s="40" t="s">
        <v>74</v>
      </c>
      <c r="B1" s="40"/>
      <c r="C1" s="40"/>
      <c r="D1" s="40"/>
      <c r="E1" s="40"/>
    </row>
    <row r="3" customFormat="false" ht="15" hidden="false" customHeight="false" outlineLevel="0" collapsed="false">
      <c r="A3" s="41" t="s">
        <v>11</v>
      </c>
      <c r="B3" s="41" t="s">
        <v>75</v>
      </c>
      <c r="C3" s="41" t="s">
        <v>76</v>
      </c>
      <c r="D3" s="41" t="s">
        <v>77</v>
      </c>
      <c r="E3" s="41" t="s">
        <v>78</v>
      </c>
    </row>
    <row r="4" customFormat="false" ht="36" hidden="false" customHeight="true" outlineLevel="0" collapsed="false">
      <c r="A4" s="42" t="n">
        <v>10</v>
      </c>
      <c r="B4" s="42" t="s">
        <v>79</v>
      </c>
      <c r="C4" s="42" t="s">
        <v>80</v>
      </c>
      <c r="D4" s="42" t="s">
        <v>81</v>
      </c>
      <c r="E4" s="38" t="s">
        <v>49</v>
      </c>
    </row>
    <row r="5" customFormat="false" ht="36" hidden="false" customHeight="true" outlineLevel="0" collapsed="false">
      <c r="A5" s="39" t="n">
        <v>20</v>
      </c>
      <c r="B5" s="39" t="s">
        <v>82</v>
      </c>
      <c r="C5" s="39" t="s">
        <v>83</v>
      </c>
      <c r="D5" s="39" t="s">
        <v>84</v>
      </c>
      <c r="E5" s="38" t="s">
        <v>49</v>
      </c>
    </row>
    <row r="6" customFormat="false" ht="36" hidden="false" customHeight="true" outlineLevel="0" collapsed="false">
      <c r="A6" s="42" t="n">
        <v>30</v>
      </c>
      <c r="B6" s="42" t="s">
        <v>85</v>
      </c>
      <c r="C6" s="42" t="s">
        <v>86</v>
      </c>
      <c r="D6" s="42" t="s">
        <v>87</v>
      </c>
      <c r="E6" s="38" t="s">
        <v>49</v>
      </c>
    </row>
    <row r="7" customFormat="false" ht="36" hidden="false" customHeight="true" outlineLevel="0" collapsed="false">
      <c r="A7" s="39" t="n">
        <v>40</v>
      </c>
      <c r="B7" s="39" t="s">
        <v>88</v>
      </c>
      <c r="C7" s="39" t="s">
        <v>89</v>
      </c>
      <c r="D7" s="39" t="s">
        <v>90</v>
      </c>
      <c r="E7" s="38" t="s">
        <v>49</v>
      </c>
    </row>
    <row r="8" customFormat="false" ht="36" hidden="false" customHeight="true" outlineLevel="0" collapsed="false">
      <c r="A8" s="42" t="n">
        <v>50</v>
      </c>
      <c r="B8" s="42" t="s">
        <v>91</v>
      </c>
      <c r="C8" s="42" t="s">
        <v>92</v>
      </c>
      <c r="D8" s="42" t="s">
        <v>93</v>
      </c>
      <c r="E8" s="38" t="s">
        <v>49</v>
      </c>
    </row>
    <row r="9" customFormat="false" ht="36" hidden="false" customHeight="true" outlineLevel="0" collapsed="false">
      <c r="A9" s="39" t="n">
        <v>60</v>
      </c>
      <c r="B9" s="39" t="s">
        <v>94</v>
      </c>
      <c r="C9" s="39" t="s">
        <v>95</v>
      </c>
      <c r="D9" s="39" t="s">
        <v>96</v>
      </c>
      <c r="E9" s="38" t="s">
        <v>49</v>
      </c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E4:E9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3" min="3" style="0" width="12"/>
    <col collapsed="false" customWidth="true" hidden="false" outlineLevel="0" max="4" min="4" style="0" width="32"/>
  </cols>
  <sheetData>
    <row r="1" customFormat="false" ht="24" hidden="false" customHeight="true" outlineLevel="0" collapsed="false">
      <c r="A1" s="35" t="s">
        <v>97</v>
      </c>
      <c r="B1" s="35"/>
      <c r="C1" s="35"/>
      <c r="D1" s="35"/>
    </row>
    <row r="3" customFormat="false" ht="15" hidden="false" customHeight="false" outlineLevel="0" collapsed="false">
      <c r="A3" s="43" t="s">
        <v>41</v>
      </c>
      <c r="B3" s="43" t="s">
        <v>98</v>
      </c>
      <c r="C3" s="43" t="s">
        <v>99</v>
      </c>
      <c r="D3" s="43" t="s">
        <v>21</v>
      </c>
    </row>
    <row r="4" customFormat="false" ht="25.5" hidden="false" customHeight="true" outlineLevel="0" collapsed="false">
      <c r="A4" s="44" t="n">
        <v>2</v>
      </c>
      <c r="B4" s="45" t="s">
        <v>100</v>
      </c>
      <c r="C4" s="46" t="s">
        <v>49</v>
      </c>
      <c r="D4" s="45"/>
    </row>
    <row r="5" customFormat="false" ht="25.5" hidden="false" customHeight="true" outlineLevel="0" collapsed="false">
      <c r="A5" s="47" t="n">
        <v>3</v>
      </c>
      <c r="B5" s="48" t="s">
        <v>101</v>
      </c>
      <c r="C5" s="49" t="s">
        <v>49</v>
      </c>
      <c r="D5" s="48"/>
    </row>
    <row r="6" customFormat="false" ht="25.5" hidden="false" customHeight="true" outlineLevel="0" collapsed="false">
      <c r="A6" s="44" t="n">
        <v>4</v>
      </c>
      <c r="B6" s="45" t="s">
        <v>102</v>
      </c>
      <c r="C6" s="46" t="s">
        <v>49</v>
      </c>
      <c r="D6" s="45"/>
    </row>
    <row r="7" customFormat="false" ht="25.5" hidden="false" customHeight="true" outlineLevel="0" collapsed="false">
      <c r="A7" s="47" t="n">
        <v>5</v>
      </c>
      <c r="B7" s="48" t="s">
        <v>103</v>
      </c>
      <c r="C7" s="49" t="s">
        <v>49</v>
      </c>
      <c r="D7" s="48"/>
    </row>
    <row r="8" customFormat="false" ht="25.5" hidden="false" customHeight="true" outlineLevel="0" collapsed="false">
      <c r="A8" s="44" t="n">
        <v>6</v>
      </c>
      <c r="B8" s="45" t="s">
        <v>104</v>
      </c>
      <c r="C8" s="46" t="s">
        <v>49</v>
      </c>
      <c r="D8" s="45"/>
    </row>
    <row r="9" customFormat="false" ht="25.5" hidden="false" customHeight="true" outlineLevel="0" collapsed="false">
      <c r="A9" s="47" t="n">
        <v>7</v>
      </c>
      <c r="B9" s="48" t="s">
        <v>105</v>
      </c>
      <c r="C9" s="49" t="s">
        <v>49</v>
      </c>
      <c r="D9" s="48"/>
    </row>
    <row r="10" customFormat="false" ht="25.5" hidden="false" customHeight="true" outlineLevel="0" collapsed="false">
      <c r="A10" s="44" t="n">
        <v>8</v>
      </c>
      <c r="B10" s="45" t="s">
        <v>106</v>
      </c>
      <c r="C10" s="46" t="s">
        <v>49</v>
      </c>
      <c r="D10" s="45"/>
    </row>
    <row r="11" customFormat="false" ht="25.5" hidden="false" customHeight="true" outlineLevel="0" collapsed="false">
      <c r="A11" s="47" t="n">
        <v>9</v>
      </c>
      <c r="B11" s="48" t="s">
        <v>107</v>
      </c>
      <c r="C11" s="49" t="s">
        <v>49</v>
      </c>
      <c r="D11" s="48"/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C4:C11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8"/>
    <col collapsed="false" customWidth="true" hidden="false" outlineLevel="0" max="3" min="3" style="0" width="36"/>
    <col collapsed="false" customWidth="true" hidden="false" outlineLevel="0" max="4" min="4" style="0" width="12"/>
  </cols>
  <sheetData>
    <row r="1" customFormat="false" ht="24" hidden="false" customHeight="true" outlineLevel="0" collapsed="false">
      <c r="A1" s="50" t="s">
        <v>108</v>
      </c>
      <c r="B1" s="50"/>
      <c r="C1" s="50"/>
      <c r="D1" s="50"/>
    </row>
    <row r="3" customFormat="false" ht="15" hidden="false" customHeight="false" outlineLevel="0" collapsed="false">
      <c r="A3" s="51" t="s">
        <v>109</v>
      </c>
      <c r="B3" s="51" t="s">
        <v>110</v>
      </c>
      <c r="C3" s="51" t="s">
        <v>111</v>
      </c>
      <c r="D3" s="51" t="s">
        <v>112</v>
      </c>
    </row>
    <row r="4" customFormat="false" ht="30" hidden="false" customHeight="true" outlineLevel="0" collapsed="false">
      <c r="A4" s="52" t="s">
        <v>113</v>
      </c>
      <c r="B4" s="53" t="s">
        <v>114</v>
      </c>
      <c r="C4" s="53"/>
      <c r="D4" s="54" t="s">
        <v>49</v>
      </c>
    </row>
    <row r="5" customFormat="false" ht="30" hidden="false" customHeight="true" outlineLevel="0" collapsed="false">
      <c r="A5" s="47" t="s">
        <v>115</v>
      </c>
      <c r="B5" s="48" t="s">
        <v>116</v>
      </c>
      <c r="C5" s="48"/>
      <c r="D5" s="49" t="s">
        <v>49</v>
      </c>
    </row>
    <row r="6" customFormat="false" ht="30" hidden="false" customHeight="true" outlineLevel="0" collapsed="false">
      <c r="A6" s="52" t="s">
        <v>117</v>
      </c>
      <c r="B6" s="53" t="s">
        <v>118</v>
      </c>
      <c r="C6" s="53"/>
      <c r="D6" s="54" t="s">
        <v>49</v>
      </c>
    </row>
    <row r="7" customFormat="false" ht="30" hidden="false" customHeight="true" outlineLevel="0" collapsed="false">
      <c r="A7" s="47" t="s">
        <v>119</v>
      </c>
      <c r="B7" s="48" t="s">
        <v>120</v>
      </c>
      <c r="C7" s="48"/>
      <c r="D7" s="49" t="s">
        <v>49</v>
      </c>
    </row>
    <row r="8" customFormat="false" ht="30" hidden="false" customHeight="true" outlineLevel="0" collapsed="false">
      <c r="A8" s="52" t="s">
        <v>121</v>
      </c>
      <c r="B8" s="53" t="s">
        <v>122</v>
      </c>
      <c r="C8" s="53"/>
      <c r="D8" s="54" t="s">
        <v>49</v>
      </c>
    </row>
    <row r="9" customFormat="false" ht="30" hidden="false" customHeight="true" outlineLevel="0" collapsed="false">
      <c r="A9" s="47" t="s">
        <v>123</v>
      </c>
      <c r="B9" s="48" t="s">
        <v>124</v>
      </c>
      <c r="C9" s="48"/>
      <c r="D9" s="49" t="s">
        <v>49</v>
      </c>
    </row>
  </sheetData>
  <mergeCells count="1">
    <mergeCell ref="A1:D1"/>
  </mergeCells>
  <dataValidations count="1">
    <dataValidation allowBlank="true" errorStyle="stop" operator="between" showDropDown="false" showErrorMessage="false" showInputMessage="false" sqref="D4:D9" type="list">
      <formula1>"☐,☑"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6" min="2" style="0" width="18"/>
  </cols>
  <sheetData>
    <row r="1" customFormat="false" ht="30" hidden="false" customHeight="true" outlineLevel="0" collapsed="false">
      <c r="A1" s="55" t="s">
        <v>125</v>
      </c>
      <c r="B1" s="55"/>
      <c r="C1" s="55"/>
      <c r="D1" s="55"/>
      <c r="E1" s="55"/>
      <c r="F1" s="55"/>
    </row>
    <row r="3" customFormat="false" ht="15" hidden="false" customHeight="true" outlineLevel="0" collapsed="false">
      <c r="A3" s="56" t="s">
        <v>126</v>
      </c>
      <c r="B3" s="57" t="s">
        <v>127</v>
      </c>
      <c r="C3" s="57"/>
      <c r="D3" s="57"/>
      <c r="E3" s="57"/>
      <c r="F3" s="57"/>
    </row>
    <row r="4" customFormat="false" ht="15" hidden="false" customHeight="true" outlineLevel="0" collapsed="false">
      <c r="A4" s="56" t="s">
        <v>128</v>
      </c>
      <c r="B4" s="57" t="s">
        <v>129</v>
      </c>
      <c r="C4" s="57"/>
      <c r="D4" s="57"/>
      <c r="E4" s="57"/>
      <c r="F4" s="57"/>
    </row>
    <row r="5" customFormat="false" ht="15" hidden="false" customHeight="true" outlineLevel="0" collapsed="false">
      <c r="A5" s="56" t="s">
        <v>130</v>
      </c>
      <c r="B5" s="57" t="s">
        <v>131</v>
      </c>
      <c r="C5" s="57"/>
      <c r="D5" s="57"/>
      <c r="E5" s="57"/>
      <c r="F5" s="57"/>
    </row>
    <row r="6" customFormat="false" ht="15" hidden="false" customHeight="true" outlineLevel="0" collapsed="false">
      <c r="A6" s="56"/>
      <c r="B6" s="57" t="s">
        <v>132</v>
      </c>
      <c r="C6" s="57"/>
      <c r="D6" s="57"/>
      <c r="E6" s="57"/>
      <c r="F6" s="57"/>
    </row>
    <row r="7" customFormat="false" ht="15" hidden="false" customHeight="true" outlineLevel="0" collapsed="false">
      <c r="A7" s="56"/>
      <c r="B7" s="57" t="s">
        <v>133</v>
      </c>
      <c r="C7" s="57"/>
      <c r="D7" s="57"/>
      <c r="E7" s="57"/>
      <c r="F7" s="57"/>
    </row>
    <row r="8" customFormat="false" ht="15" hidden="false" customHeight="true" outlineLevel="0" collapsed="false">
      <c r="A8" s="56"/>
      <c r="B8" s="57" t="s">
        <v>134</v>
      </c>
      <c r="C8" s="57"/>
      <c r="D8" s="57"/>
      <c r="E8" s="57"/>
      <c r="F8" s="57"/>
    </row>
    <row r="9" customFormat="false" ht="15" hidden="false" customHeight="true" outlineLevel="0" collapsed="false">
      <c r="A9" s="56"/>
      <c r="B9" s="57" t="s">
        <v>135</v>
      </c>
      <c r="C9" s="57"/>
      <c r="D9" s="57"/>
      <c r="E9" s="57"/>
      <c r="F9" s="57"/>
    </row>
    <row r="10" customFormat="false" ht="15" hidden="false" customHeight="true" outlineLevel="0" collapsed="false">
      <c r="A10" s="56" t="s">
        <v>136</v>
      </c>
      <c r="B10" s="57" t="s">
        <v>137</v>
      </c>
      <c r="C10" s="57"/>
      <c r="D10" s="57"/>
      <c r="E10" s="57"/>
      <c r="F10" s="57"/>
    </row>
    <row r="11" customFormat="false" ht="15" hidden="false" customHeight="true" outlineLevel="0" collapsed="false">
      <c r="A11" s="56" t="s">
        <v>138</v>
      </c>
      <c r="B11" s="57" t="s">
        <v>139</v>
      </c>
      <c r="C11" s="57"/>
      <c r="D11" s="57"/>
      <c r="E11" s="57"/>
      <c r="F11" s="57"/>
    </row>
    <row r="12" customFormat="false" ht="15" hidden="false" customHeight="true" outlineLevel="0" collapsed="false">
      <c r="A12" s="56" t="s">
        <v>140</v>
      </c>
      <c r="B12" s="57" t="s">
        <v>141</v>
      </c>
      <c r="C12" s="57"/>
      <c r="D12" s="57"/>
      <c r="E12" s="57"/>
      <c r="F12" s="57"/>
    </row>
    <row r="13" customFormat="false" ht="15" hidden="false" customHeight="false" outlineLevel="0" collapsed="false">
      <c r="A13" s="56"/>
      <c r="B13" s="57"/>
      <c r="C13" s="57"/>
      <c r="D13" s="57"/>
      <c r="E13" s="57"/>
      <c r="F13" s="57"/>
    </row>
    <row r="14" customFormat="false" ht="15" hidden="false" customHeight="false" outlineLevel="0" collapsed="false">
      <c r="A14" s="56" t="s">
        <v>142</v>
      </c>
      <c r="B14" s="57"/>
      <c r="C14" s="57"/>
      <c r="D14" s="57"/>
      <c r="E14" s="57"/>
      <c r="F14" s="57"/>
    </row>
    <row r="15" customFormat="false" ht="15" hidden="false" customHeight="true" outlineLevel="0" collapsed="false">
      <c r="A15" s="56" t="s">
        <v>143</v>
      </c>
      <c r="B15" s="57" t="s">
        <v>144</v>
      </c>
      <c r="C15" s="57"/>
      <c r="D15" s="57"/>
      <c r="E15" s="57"/>
      <c r="F15" s="57"/>
    </row>
    <row r="16" customFormat="false" ht="15" hidden="false" customHeight="true" outlineLevel="0" collapsed="false">
      <c r="A16" s="56" t="s">
        <v>143</v>
      </c>
      <c r="B16" s="57" t="s">
        <v>145</v>
      </c>
      <c r="C16" s="57"/>
      <c r="D16" s="57"/>
      <c r="E16" s="57"/>
      <c r="F16" s="57"/>
    </row>
    <row r="17" customFormat="false" ht="15" hidden="false" customHeight="true" outlineLevel="0" collapsed="false">
      <c r="A17" s="56" t="s">
        <v>143</v>
      </c>
      <c r="B17" s="57" t="s">
        <v>146</v>
      </c>
      <c r="C17" s="57"/>
      <c r="D17" s="57"/>
      <c r="E17" s="57"/>
      <c r="F17" s="57"/>
    </row>
    <row r="18" customFormat="false" ht="15" hidden="false" customHeight="true" outlineLevel="0" collapsed="false">
      <c r="A18" s="56" t="s">
        <v>143</v>
      </c>
      <c r="B18" s="57" t="s">
        <v>147</v>
      </c>
      <c r="C18" s="57"/>
      <c r="D18" s="57"/>
      <c r="E18" s="57"/>
      <c r="F18" s="57"/>
    </row>
  </sheetData>
  <mergeCells count="17">
    <mergeCell ref="A1:F1"/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2026-05-11T13:39:48Z</dcterms:created>
  <dc:creator>openpyxl</dc:creator>
  <dc:description/>
  <dc:language>en-US</dc:language>
  <cp:lastModifiedBy/>
  <dcterms:modified xsi:type="dcterms:W3CDTF">2026-05-11T13:39:48Z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